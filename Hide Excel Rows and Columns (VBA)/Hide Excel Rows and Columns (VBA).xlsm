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ThisWorkbook" defaultThemeVersion="166925"/>
  <xr:revisionPtr revIDLastSave="0" documentId="13_ncr:1_{D7878072-80EA-4FF1-9351-750665EF9EE4}" xr6:coauthVersionLast="47" xr6:coauthVersionMax="47" xr10:uidLastSave="{00000000-0000-0000-0000-000000000000}"/>
  <bookViews>
    <workbookView xWindow="-120" yWindow="-120" windowWidth="27435" windowHeight="14805" xr2:uid="{39ECF217-8D0E-4638-B409-155A10B21CC0}"/>
  </bookViews>
  <sheets>
    <sheet name="Report" sheetId="16" r:id="rId1"/>
    <sheet name="Report with Formula" sheetId="1" r:id="rId2"/>
    <sheet name="Data" sheetId="15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15" l="1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F4" i="16"/>
  <c r="B47" i="15"/>
  <c r="C47" i="15"/>
  <c r="D47" i="15"/>
  <c r="E47" i="15"/>
  <c r="F47" i="15"/>
  <c r="G47" i="15"/>
  <c r="B48" i="15"/>
  <c r="C48" i="15"/>
  <c r="D48" i="15"/>
  <c r="E48" i="15"/>
  <c r="F48" i="15"/>
  <c r="G48" i="15"/>
  <c r="B49" i="15"/>
  <c r="C49" i="15"/>
  <c r="D49" i="15"/>
  <c r="E49" i="15"/>
  <c r="F49" i="15"/>
  <c r="G49" i="15"/>
  <c r="B50" i="15"/>
  <c r="C50" i="15"/>
  <c r="D50" i="15"/>
  <c r="E50" i="15"/>
  <c r="F50" i="15"/>
  <c r="G50" i="15"/>
  <c r="B51" i="15"/>
  <c r="C51" i="15"/>
  <c r="D51" i="15"/>
  <c r="E51" i="15"/>
  <c r="F51" i="15"/>
  <c r="G51" i="15"/>
  <c r="B52" i="15"/>
  <c r="C52" i="15"/>
  <c r="D52" i="15"/>
  <c r="E52" i="15"/>
  <c r="F52" i="15"/>
  <c r="G52" i="15"/>
  <c r="B53" i="15"/>
  <c r="C53" i="15"/>
  <c r="D53" i="15"/>
  <c r="E53" i="15"/>
  <c r="F53" i="15"/>
  <c r="G53" i="15"/>
  <c r="B54" i="15"/>
  <c r="C54" i="15"/>
  <c r="D54" i="15"/>
  <c r="E54" i="15"/>
  <c r="F54" i="15"/>
  <c r="G54" i="15"/>
  <c r="B55" i="15"/>
  <c r="C55" i="15"/>
  <c r="D55" i="15"/>
  <c r="E55" i="15"/>
  <c r="F55" i="15"/>
  <c r="G55" i="15"/>
  <c r="B56" i="15"/>
  <c r="C56" i="15"/>
  <c r="D56" i="15"/>
  <c r="E56" i="15"/>
  <c r="F56" i="15"/>
  <c r="G56" i="15"/>
  <c r="B57" i="15"/>
  <c r="C57" i="15"/>
  <c r="D57" i="15"/>
  <c r="E57" i="15"/>
  <c r="F57" i="15"/>
  <c r="G57" i="15"/>
  <c r="B58" i="15"/>
  <c r="C58" i="15"/>
  <c r="D58" i="15"/>
  <c r="E58" i="15"/>
  <c r="F58" i="15"/>
  <c r="G58" i="15"/>
  <c r="B59" i="15"/>
  <c r="C59" i="15"/>
  <c r="D59" i="15"/>
  <c r="E59" i="15"/>
  <c r="F59" i="15"/>
  <c r="G59" i="15"/>
  <c r="B60" i="15"/>
  <c r="C60" i="15"/>
  <c r="D60" i="15"/>
  <c r="E60" i="15"/>
  <c r="F60" i="15"/>
  <c r="G60" i="15"/>
  <c r="B61" i="15"/>
  <c r="C61" i="15"/>
  <c r="D61" i="15"/>
  <c r="E61" i="15"/>
  <c r="F61" i="15"/>
  <c r="G61" i="15"/>
  <c r="B62" i="15"/>
  <c r="C62" i="15"/>
  <c r="D62" i="15"/>
  <c r="E62" i="15"/>
  <c r="F62" i="15"/>
  <c r="G62" i="15"/>
  <c r="B63" i="15"/>
  <c r="C63" i="15"/>
  <c r="D63" i="15"/>
  <c r="E63" i="15"/>
  <c r="F63" i="15"/>
  <c r="G63" i="15"/>
  <c r="B64" i="15"/>
  <c r="C64" i="15"/>
  <c r="D64" i="15"/>
  <c r="E64" i="15"/>
  <c r="F64" i="15"/>
  <c r="G64" i="15"/>
  <c r="B65" i="15"/>
  <c r="C65" i="15"/>
  <c r="D65" i="15"/>
  <c r="E65" i="15"/>
  <c r="F65" i="15"/>
  <c r="G65" i="15"/>
  <c r="B66" i="15"/>
  <c r="C66" i="15"/>
  <c r="D66" i="15"/>
  <c r="E66" i="15"/>
  <c r="F66" i="15"/>
  <c r="G66" i="15"/>
  <c r="B67" i="15"/>
  <c r="C67" i="15"/>
  <c r="D67" i="15"/>
  <c r="E67" i="15"/>
  <c r="F67" i="15"/>
  <c r="G67" i="15"/>
  <c r="B36" i="15"/>
  <c r="C36" i="15"/>
  <c r="D36" i="15"/>
  <c r="E36" i="15"/>
  <c r="F36" i="15"/>
  <c r="G36" i="15"/>
  <c r="B37" i="15"/>
  <c r="C37" i="15"/>
  <c r="D37" i="15"/>
  <c r="E37" i="15"/>
  <c r="F37" i="15"/>
  <c r="G37" i="15"/>
  <c r="B38" i="15"/>
  <c r="C38" i="15"/>
  <c r="D38" i="15"/>
  <c r="E38" i="15"/>
  <c r="F38" i="15"/>
  <c r="G38" i="15"/>
  <c r="B39" i="15"/>
  <c r="C39" i="15"/>
  <c r="D39" i="15"/>
  <c r="E39" i="15"/>
  <c r="F39" i="15"/>
  <c r="G39" i="15"/>
  <c r="B40" i="15"/>
  <c r="C40" i="15"/>
  <c r="D40" i="15"/>
  <c r="E40" i="15"/>
  <c r="F40" i="15"/>
  <c r="G40" i="15"/>
  <c r="B41" i="15"/>
  <c r="C41" i="15"/>
  <c r="D41" i="15"/>
  <c r="E41" i="15"/>
  <c r="F41" i="15"/>
  <c r="G41" i="15"/>
  <c r="B42" i="15"/>
  <c r="C42" i="15"/>
  <c r="D42" i="15"/>
  <c r="E42" i="15"/>
  <c r="F42" i="15"/>
  <c r="G42" i="15"/>
  <c r="B43" i="15"/>
  <c r="C43" i="15"/>
  <c r="D43" i="15"/>
  <c r="E43" i="15"/>
  <c r="F43" i="15"/>
  <c r="G43" i="15"/>
  <c r="B44" i="15"/>
  <c r="C44" i="15"/>
  <c r="D44" i="15"/>
  <c r="E44" i="15"/>
  <c r="F44" i="15"/>
  <c r="G44" i="15"/>
  <c r="B45" i="15"/>
  <c r="C45" i="15"/>
  <c r="D45" i="15"/>
  <c r="E45" i="15"/>
  <c r="F45" i="15"/>
  <c r="G45" i="15"/>
  <c r="B46" i="15"/>
  <c r="C46" i="15"/>
  <c r="D46" i="15"/>
  <c r="E46" i="15"/>
  <c r="F46" i="15"/>
  <c r="G46" i="15"/>
  <c r="B12" i="15"/>
  <c r="C12" i="15"/>
  <c r="D12" i="15"/>
  <c r="E12" i="15"/>
  <c r="F12" i="15"/>
  <c r="G12" i="15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B16" i="15"/>
  <c r="C16" i="15"/>
  <c r="D16" i="15"/>
  <c r="E16" i="15"/>
  <c r="F16" i="15"/>
  <c r="G16" i="15"/>
  <c r="B17" i="15"/>
  <c r="C17" i="15"/>
  <c r="D17" i="15"/>
  <c r="E17" i="15"/>
  <c r="F17" i="15"/>
  <c r="G17" i="15"/>
  <c r="B18" i="15"/>
  <c r="C18" i="15"/>
  <c r="D18" i="15"/>
  <c r="E18" i="15"/>
  <c r="F18" i="15"/>
  <c r="G18" i="15"/>
  <c r="B19" i="15"/>
  <c r="C19" i="15"/>
  <c r="D19" i="15"/>
  <c r="E19" i="15"/>
  <c r="F19" i="15"/>
  <c r="G19" i="15"/>
  <c r="B20" i="15"/>
  <c r="C20" i="15"/>
  <c r="D20" i="15"/>
  <c r="E20" i="15"/>
  <c r="F20" i="15"/>
  <c r="G20" i="15"/>
  <c r="B21" i="15"/>
  <c r="C21" i="15"/>
  <c r="D21" i="15"/>
  <c r="E21" i="15"/>
  <c r="F21" i="15"/>
  <c r="G21" i="15"/>
  <c r="B22" i="15"/>
  <c r="C22" i="15"/>
  <c r="D22" i="15"/>
  <c r="E22" i="15"/>
  <c r="F22" i="15"/>
  <c r="G22" i="15"/>
  <c r="B23" i="15"/>
  <c r="C23" i="15"/>
  <c r="D23" i="15"/>
  <c r="E23" i="15"/>
  <c r="F23" i="15"/>
  <c r="G23" i="15"/>
  <c r="B24" i="15"/>
  <c r="C24" i="15"/>
  <c r="D24" i="15"/>
  <c r="E24" i="15"/>
  <c r="F24" i="15"/>
  <c r="G24" i="15"/>
  <c r="B25" i="15"/>
  <c r="C25" i="15"/>
  <c r="D25" i="15"/>
  <c r="E25" i="15"/>
  <c r="F25" i="15"/>
  <c r="G25" i="15"/>
  <c r="B26" i="15"/>
  <c r="C26" i="15"/>
  <c r="D26" i="15"/>
  <c r="E26" i="15"/>
  <c r="F26" i="15"/>
  <c r="G26" i="15"/>
  <c r="B27" i="15"/>
  <c r="C27" i="15"/>
  <c r="D27" i="15"/>
  <c r="E27" i="15"/>
  <c r="F27" i="15"/>
  <c r="G27" i="15"/>
  <c r="B28" i="15"/>
  <c r="C28" i="15"/>
  <c r="D28" i="15"/>
  <c r="E28" i="15"/>
  <c r="F28" i="15"/>
  <c r="G28" i="15"/>
  <c r="B29" i="15"/>
  <c r="C29" i="15"/>
  <c r="D29" i="15"/>
  <c r="E29" i="15"/>
  <c r="F29" i="15"/>
  <c r="G29" i="15"/>
  <c r="B30" i="15"/>
  <c r="C30" i="15"/>
  <c r="D30" i="15"/>
  <c r="E30" i="15"/>
  <c r="F30" i="15"/>
  <c r="G30" i="15"/>
  <c r="B31" i="15"/>
  <c r="C31" i="15"/>
  <c r="D31" i="15"/>
  <c r="E31" i="15"/>
  <c r="F31" i="15"/>
  <c r="G31" i="15"/>
  <c r="B32" i="15"/>
  <c r="C32" i="15"/>
  <c r="D32" i="15"/>
  <c r="E32" i="15"/>
  <c r="F32" i="15"/>
  <c r="G32" i="15"/>
  <c r="B33" i="15"/>
  <c r="C33" i="15"/>
  <c r="D33" i="15"/>
  <c r="E33" i="15"/>
  <c r="F33" i="15"/>
  <c r="G33" i="15"/>
  <c r="B34" i="15"/>
  <c r="C34" i="15"/>
  <c r="D34" i="15"/>
  <c r="E34" i="15"/>
  <c r="F34" i="15"/>
  <c r="G34" i="15"/>
  <c r="B35" i="15"/>
  <c r="C35" i="15"/>
  <c r="D35" i="15"/>
  <c r="E35" i="15"/>
  <c r="F35" i="15"/>
  <c r="G35" i="15"/>
  <c r="G3" i="15"/>
  <c r="G4" i="15"/>
  <c r="G5" i="15"/>
  <c r="G6" i="15"/>
  <c r="G7" i="15"/>
  <c r="G8" i="15"/>
  <c r="G9" i="15"/>
  <c r="G10" i="15"/>
  <c r="G11" i="15"/>
  <c r="G2" i="15"/>
  <c r="F4" i="15"/>
  <c r="F5" i="15"/>
  <c r="F6" i="15"/>
  <c r="F7" i="15"/>
  <c r="F8" i="15"/>
  <c r="F9" i="15"/>
  <c r="F10" i="15"/>
  <c r="F11" i="15"/>
  <c r="F3" i="15"/>
  <c r="F2" i="15"/>
  <c r="D3" i="15"/>
  <c r="E3" i="15"/>
  <c r="D4" i="15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2" i="15"/>
  <c r="E2" i="15" s="1"/>
  <c r="C3" i="15"/>
  <c r="C4" i="15"/>
  <c r="C5" i="15"/>
  <c r="C6" i="15"/>
  <c r="C7" i="15"/>
  <c r="C8" i="15"/>
  <c r="C9" i="15"/>
  <c r="C10" i="15"/>
  <c r="C11" i="15"/>
  <c r="C2" i="15"/>
  <c r="B3" i="15"/>
  <c r="B4" i="15"/>
  <c r="B5" i="15"/>
  <c r="B6" i="15"/>
  <c r="B7" i="15"/>
  <c r="B8" i="15"/>
  <c r="B9" i="15"/>
  <c r="B10" i="15"/>
  <c r="B11" i="15"/>
  <c r="B2" i="15"/>
  <c r="F4" i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G4" i="16" l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P19" i="1"/>
  <c r="P18" i="1" s="1"/>
  <c r="O19" i="1"/>
  <c r="O18" i="1" s="1"/>
  <c r="N19" i="1"/>
  <c r="N18" i="1" s="1"/>
  <c r="M19" i="1"/>
  <c r="M18" i="1" s="1"/>
  <c r="L19" i="1"/>
  <c r="L18" i="1" s="1"/>
  <c r="K19" i="1"/>
  <c r="K18" i="1" s="1"/>
  <c r="J19" i="1"/>
  <c r="J18" i="1" s="1"/>
  <c r="I19" i="1"/>
  <c r="I18" i="1" s="1"/>
  <c r="H19" i="1"/>
  <c r="H18" i="1" s="1"/>
  <c r="G19" i="1"/>
  <c r="G18" i="1" s="1"/>
  <c r="F19" i="1"/>
  <c r="F18" i="1" s="1"/>
  <c r="E19" i="1"/>
  <c r="E18" i="1" s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P15" i="1"/>
  <c r="P14" i="1" s="1"/>
  <c r="O15" i="1"/>
  <c r="O14" i="1" s="1"/>
  <c r="N15" i="1"/>
  <c r="N14" i="1" s="1"/>
  <c r="M15" i="1"/>
  <c r="M14" i="1" s="1"/>
  <c r="L15" i="1"/>
  <c r="L14" i="1" s="1"/>
  <c r="K15" i="1"/>
  <c r="K14" i="1" s="1"/>
  <c r="J15" i="1"/>
  <c r="J14" i="1" s="1"/>
  <c r="I15" i="1"/>
  <c r="I14" i="1" s="1"/>
  <c r="H15" i="1"/>
  <c r="H14" i="1" s="1"/>
  <c r="G15" i="1"/>
  <c r="G14" i="1" s="1"/>
  <c r="F15" i="1"/>
  <c r="F14" i="1" s="1"/>
  <c r="E15" i="1"/>
  <c r="E14" i="1" s="1"/>
  <c r="Q15" i="1"/>
  <c r="Q14" i="1" s="1"/>
  <c r="Q19" i="1"/>
  <c r="Q18" i="1" s="1"/>
  <c r="P13" i="1"/>
  <c r="O13" i="1"/>
  <c r="N13" i="1"/>
  <c r="M13" i="1"/>
  <c r="L13" i="1"/>
  <c r="K13" i="1"/>
  <c r="J13" i="1"/>
  <c r="I13" i="1"/>
  <c r="H13" i="1"/>
  <c r="G13" i="1"/>
  <c r="F13" i="1"/>
  <c r="E13" i="1"/>
  <c r="P12" i="1"/>
  <c r="O12" i="1"/>
  <c r="N12" i="1"/>
  <c r="M12" i="1"/>
  <c r="L12" i="1"/>
  <c r="K12" i="1"/>
  <c r="J12" i="1"/>
  <c r="I12" i="1"/>
  <c r="H12" i="1"/>
  <c r="G12" i="1"/>
  <c r="F12" i="1"/>
  <c r="E12" i="1"/>
  <c r="P11" i="1"/>
  <c r="O11" i="1"/>
  <c r="N11" i="1"/>
  <c r="M11" i="1"/>
  <c r="L11" i="1"/>
  <c r="K11" i="1"/>
  <c r="J11" i="1"/>
  <c r="I11" i="1"/>
  <c r="H11" i="1"/>
  <c r="G11" i="1"/>
  <c r="F11" i="1"/>
  <c r="E11" i="1"/>
  <c r="P10" i="1"/>
  <c r="O10" i="1"/>
  <c r="N10" i="1"/>
  <c r="M10" i="1"/>
  <c r="L10" i="1"/>
  <c r="K10" i="1"/>
  <c r="J10" i="1"/>
  <c r="I10" i="1"/>
  <c r="H10" i="1"/>
  <c r="G10" i="1"/>
  <c r="F10" i="1"/>
  <c r="E10" i="1"/>
  <c r="Q10" i="1"/>
  <c r="Q13" i="1"/>
  <c r="Q12" i="1"/>
  <c r="Q11" i="1"/>
  <c r="Q8" i="1"/>
  <c r="P8" i="1"/>
  <c r="O8" i="1"/>
  <c r="N8" i="1"/>
  <c r="M8" i="1"/>
  <c r="L8" i="1"/>
  <c r="K8" i="1"/>
  <c r="J8" i="1"/>
  <c r="I8" i="1"/>
  <c r="H8" i="1"/>
  <c r="G8" i="1"/>
  <c r="F8" i="1"/>
  <c r="E8" i="1"/>
  <c r="Q7" i="1"/>
  <c r="P7" i="1"/>
  <c r="O7" i="1"/>
  <c r="N7" i="1"/>
  <c r="M7" i="1"/>
  <c r="L7" i="1"/>
  <c r="K7" i="1"/>
  <c r="J7" i="1"/>
  <c r="I7" i="1"/>
  <c r="H7" i="1"/>
  <c r="G7" i="1"/>
  <c r="F7" i="1"/>
  <c r="E7" i="1"/>
  <c r="Q6" i="1"/>
  <c r="P6" i="1"/>
  <c r="O6" i="1"/>
  <c r="N6" i="1"/>
  <c r="M6" i="1"/>
  <c r="L6" i="1"/>
  <c r="K6" i="1"/>
  <c r="J6" i="1"/>
  <c r="I6" i="1"/>
  <c r="H6" i="1"/>
  <c r="G6" i="1"/>
  <c r="F6" i="1"/>
  <c r="E6" i="1"/>
  <c r="Q5" i="1"/>
  <c r="P5" i="1"/>
  <c r="O5" i="1"/>
  <c r="N5" i="1"/>
  <c r="M5" i="1"/>
  <c r="L5" i="1"/>
  <c r="K5" i="1"/>
  <c r="J5" i="1"/>
  <c r="I5" i="1"/>
  <c r="H5" i="1"/>
  <c r="G5" i="1"/>
  <c r="F5" i="1"/>
  <c r="E5" i="1"/>
  <c r="H4" i="16" l="1"/>
  <c r="I4" i="16" l="1"/>
  <c r="J4" i="16" l="1"/>
  <c r="K4" i="16" l="1"/>
  <c r="L4" i="16" l="1"/>
  <c r="M4" i="16" l="1"/>
  <c r="N4" i="16" l="1"/>
  <c r="O4" i="16" l="1"/>
  <c r="P4" i="16" l="1"/>
</calcChain>
</file>

<file path=xl/sharedStrings.xml><?xml version="1.0" encoding="utf-8"?>
<sst xmlns="http://schemas.openxmlformats.org/spreadsheetml/2006/main" count="58" uniqueCount="19">
  <si>
    <t>Periods</t>
  </si>
  <si>
    <t>Portfolio</t>
  </si>
  <si>
    <t>Risk Total</t>
  </si>
  <si>
    <t>Stage 1</t>
  </si>
  <si>
    <t>Stage 2</t>
  </si>
  <si>
    <t>Stage 3</t>
  </si>
  <si>
    <t>Retail</t>
  </si>
  <si>
    <t>SME</t>
  </si>
  <si>
    <t>Commercial</t>
  </si>
  <si>
    <t>Corporate</t>
  </si>
  <si>
    <t>Cash Total</t>
  </si>
  <si>
    <t>Non-Cash Total</t>
  </si>
  <si>
    <t>Orig Date</t>
  </si>
  <si>
    <t>Orig Date EOM</t>
  </si>
  <si>
    <t>Stage</t>
  </si>
  <si>
    <t>Portfolio ID</t>
  </si>
  <si>
    <t>Risk Type</t>
  </si>
  <si>
    <t>Amount</t>
  </si>
  <si>
    <t>keep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</si>
</sst>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2" fillId="0" borderId="0" xfId="0" applyFont="1"/>
    <xf numFmtId="164" fontId="0" fillId="0" borderId="0" xfId="1" applyNumberFormat="1" applyFont="1"/>
    <xf numFmtId="164" fontId="0" fillId="2" borderId="0" xfId="1" applyNumberFormat="1" applyFont="1" applyFill="1"/>
    <xf numFmtId="14" fontId="2" fillId="0" borderId="0" xfId="0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4">
    <dxf>
      <numFmt numFmtId="164" formatCode="_(* #,##0_);_(* \(#,##0\);_(* &quot;-&quot;??_);_(@_)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F33CBF-7C1C-4E31-BF4A-2B3D3BBA69B1}" name="TBL_SAMPLE_DATA" displayName="TBL_SAMPLE_DATA" ref="A1:G67" totalsRowShown="0" headerRowDxfId="3">
  <autoFilter ref="A1:G67" xr:uid="{29F33CBF-7C1C-4E31-BF4A-2B3D3BBA69B1}"/>
  <tableColumns count="7">
    <tableColumn id="1" xr3:uid="{8AFEE99F-1209-4977-A0DE-436A6EDB5DE0}" name="Orig Date" dataDxfId="2">
      <calculatedColumnFormula>RANDBETWEEN(44530,44926)</calculatedColumnFormula>
    </tableColumn>
    <tableColumn id="2" xr3:uid="{8F10C444-CE8F-4465-97B9-DE86566146EB}" name="Orig Date EOM" dataDxfId="1">
      <calculatedColumnFormula>EOMONTH(A2,0)</calculatedColumnFormula>
    </tableColumn>
    <tableColumn id="3" xr3:uid="{3ACC48AA-D583-4805-9582-E82ECFF18A0E}" name="Stage">
      <calculatedColumnFormula>RANDBETWEEN(1,3)</calculatedColumnFormula>
    </tableColumn>
    <tableColumn id="4" xr3:uid="{CE1AEF4D-506C-4410-BD5D-1BA1D0429461}" name="Portfolio ID">
      <calculatedColumnFormula>RANDBETWEEN(1,4)</calculatedColumnFormula>
    </tableColumn>
    <tableColumn id="5" xr3:uid="{8B08877E-D239-4F09-B451-BE0EC93AFFFC}" name="Portfolio">
      <calculatedColumnFormula>VLOOKUP(D2,$L$1:$M$5,2,0)</calculatedColumnFormula>
    </tableColumn>
    <tableColumn id="6" xr3:uid="{FE55610F-1484-4136-B228-2AD95E66AF4F}" name="Risk Type">
      <calculatedColumnFormula>IF(RANDBETWEEN(1,2)=1,"Cash","Non Cash")</calculatedColumnFormula>
    </tableColumn>
    <tableColumn id="7" xr3:uid="{355B06CA-667E-4C5A-8CDF-7B1BFF932E72}" name="Amount" dataDxfId="0" dataCellStyle="Comma">
      <calculatedColumnFormula>RANDBETWEEN(10000,999999)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8894D-7CCE-4F5D-B27C-3DFD0A928C2F}">
  <sheetPr codeName="Sheet3"/>
  <dimension ref="A1:P21"/>
  <sheetViews>
    <sheetView tabSelected="1" workbookViewId="0"/>
  </sheetViews>
  <sheetFormatPr defaultRowHeight="15" x14ac:dyDescent="0.25"/>
  <cols>
    <col min="1" max="3" width="9.140625" customWidth="1"/>
    <col min="4" max="4" width="14.5703125" customWidth="1"/>
    <col min="5" max="5" width="10.5703125" bestFit="1" customWidth="1"/>
    <col min="6" max="7" width="10.5703125" customWidth="1"/>
    <col min="8" max="8" width="10.5703125" bestFit="1" customWidth="1"/>
    <col min="9" max="10" width="10.5703125" customWidth="1"/>
    <col min="11" max="11" width="10.5703125" bestFit="1" customWidth="1"/>
    <col min="12" max="13" width="10.5703125" customWidth="1"/>
    <col min="14" max="14" width="10.5703125" bestFit="1" customWidth="1"/>
    <col min="15" max="15" width="10.5703125" customWidth="1"/>
    <col min="16" max="16" width="10.5703125" bestFit="1" customWidth="1"/>
  </cols>
  <sheetData>
    <row r="1" spans="1:16" x14ac:dyDescent="0.25">
      <c r="D1" t="s">
        <v>18</v>
      </c>
      <c r="E1" t="s">
        <v>18</v>
      </c>
      <c r="H1" t="s">
        <v>18</v>
      </c>
      <c r="K1" t="s">
        <v>18</v>
      </c>
      <c r="N1" t="s">
        <v>18</v>
      </c>
      <c r="P1" t="s">
        <v>18</v>
      </c>
    </row>
    <row r="4" spans="1:16" x14ac:dyDescent="0.25">
      <c r="A4" t="s">
        <v>18</v>
      </c>
      <c r="D4" s="4" t="s">
        <v>0</v>
      </c>
      <c r="E4" s="7">
        <v>44561</v>
      </c>
      <c r="F4" s="7">
        <f>EOMONTH(E4,1)</f>
        <v>44592</v>
      </c>
      <c r="G4" s="7">
        <f>EOMONTH(F4,1)</f>
        <v>44620</v>
      </c>
      <c r="H4" s="7">
        <f t="shared" ref="H4:P4" si="0">EOMONTH(G4,1)</f>
        <v>44651</v>
      </c>
      <c r="I4" s="7">
        <f t="shared" si="0"/>
        <v>44681</v>
      </c>
      <c r="J4" s="7">
        <f t="shared" si="0"/>
        <v>44712</v>
      </c>
      <c r="K4" s="7">
        <f t="shared" si="0"/>
        <v>44742</v>
      </c>
      <c r="L4" s="7">
        <f t="shared" si="0"/>
        <v>44773</v>
      </c>
      <c r="M4" s="7">
        <f t="shared" si="0"/>
        <v>44804</v>
      </c>
      <c r="N4" s="7">
        <f t="shared" si="0"/>
        <v>44834</v>
      </c>
      <c r="O4" s="7">
        <f t="shared" si="0"/>
        <v>44865</v>
      </c>
      <c r="P4" s="7">
        <f t="shared" si="0"/>
        <v>44895</v>
      </c>
    </row>
    <row r="5" spans="1:16" x14ac:dyDescent="0.25">
      <c r="A5" t="s">
        <v>18</v>
      </c>
      <c r="D5" s="3" t="s">
        <v>2</v>
      </c>
      <c r="E5" s="6">
        <v>2020073</v>
      </c>
      <c r="F5" s="6">
        <v>4256087</v>
      </c>
      <c r="G5" s="6">
        <v>3983833</v>
      </c>
      <c r="H5" s="6">
        <v>3917272</v>
      </c>
      <c r="I5" s="6">
        <v>1330351</v>
      </c>
      <c r="J5" s="6">
        <v>2347057</v>
      </c>
      <c r="K5" s="6">
        <v>350615</v>
      </c>
      <c r="L5" s="6">
        <v>1857453</v>
      </c>
      <c r="M5" s="6">
        <v>1899904</v>
      </c>
      <c r="N5" s="6">
        <v>5346740</v>
      </c>
      <c r="O5" s="6">
        <v>3141824</v>
      </c>
      <c r="P5" s="6">
        <v>2791344</v>
      </c>
    </row>
    <row r="6" spans="1:16" x14ac:dyDescent="0.25">
      <c r="D6" t="s">
        <v>3</v>
      </c>
      <c r="E6" s="5">
        <v>0</v>
      </c>
      <c r="F6" s="5">
        <v>3268961</v>
      </c>
      <c r="G6" s="5">
        <v>325769</v>
      </c>
      <c r="H6" s="5">
        <v>2339219</v>
      </c>
      <c r="I6" s="5">
        <v>102277</v>
      </c>
      <c r="J6" s="5">
        <v>606433</v>
      </c>
      <c r="K6" s="5">
        <v>350615</v>
      </c>
      <c r="L6" s="5">
        <v>983040</v>
      </c>
      <c r="M6" s="5">
        <v>889754</v>
      </c>
      <c r="N6" s="5">
        <v>1662309</v>
      </c>
      <c r="O6" s="5">
        <v>999943</v>
      </c>
      <c r="P6" s="5">
        <v>142559</v>
      </c>
    </row>
    <row r="7" spans="1:16" x14ac:dyDescent="0.25">
      <c r="D7" t="s">
        <v>4</v>
      </c>
      <c r="E7" s="5">
        <v>1242584</v>
      </c>
      <c r="F7" s="5">
        <v>987126</v>
      </c>
      <c r="G7" s="5">
        <v>2858203</v>
      </c>
      <c r="H7" s="5">
        <v>921314</v>
      </c>
      <c r="I7" s="5">
        <v>57114</v>
      </c>
      <c r="J7" s="5">
        <v>674990</v>
      </c>
      <c r="K7" s="5">
        <v>0</v>
      </c>
      <c r="L7" s="5">
        <v>170523</v>
      </c>
      <c r="M7" s="5">
        <v>241854</v>
      </c>
      <c r="N7" s="5">
        <v>581720</v>
      </c>
      <c r="O7" s="5">
        <v>1115604</v>
      </c>
      <c r="P7" s="5">
        <v>1915440</v>
      </c>
    </row>
    <row r="8" spans="1:16" x14ac:dyDescent="0.25">
      <c r="D8" t="s">
        <v>5</v>
      </c>
      <c r="E8" s="5">
        <v>777489</v>
      </c>
      <c r="F8" s="5">
        <v>0</v>
      </c>
      <c r="G8" s="5">
        <v>799861</v>
      </c>
      <c r="H8" s="5">
        <v>656739</v>
      </c>
      <c r="I8" s="5">
        <v>1170960</v>
      </c>
      <c r="J8" s="5">
        <v>1065634</v>
      </c>
      <c r="K8" s="5">
        <v>0</v>
      </c>
      <c r="L8" s="5">
        <v>703890</v>
      </c>
      <c r="M8" s="5">
        <v>768296</v>
      </c>
      <c r="N8" s="5">
        <v>3102711</v>
      </c>
      <c r="O8" s="5">
        <v>1026277</v>
      </c>
      <c r="P8" s="5">
        <v>733345</v>
      </c>
    </row>
    <row r="9" spans="1:16" ht="6" customHeight="1" x14ac:dyDescent="0.25">
      <c r="A9" t="s">
        <v>18</v>
      </c>
    </row>
    <row r="10" spans="1:16" x14ac:dyDescent="0.25">
      <c r="D10" t="s">
        <v>6</v>
      </c>
      <c r="E10" s="5">
        <v>1030430</v>
      </c>
      <c r="F10" s="5">
        <v>1747101</v>
      </c>
      <c r="G10" s="5">
        <v>325769</v>
      </c>
      <c r="H10" s="5">
        <v>541337</v>
      </c>
      <c r="I10" s="5">
        <v>603195</v>
      </c>
      <c r="J10" s="5">
        <v>939431</v>
      </c>
      <c r="K10" s="5">
        <v>350615</v>
      </c>
      <c r="L10" s="5">
        <v>151866</v>
      </c>
      <c r="M10" s="5">
        <v>0</v>
      </c>
      <c r="N10" s="5">
        <v>893377</v>
      </c>
      <c r="O10" s="5">
        <v>691006</v>
      </c>
      <c r="P10" s="5">
        <v>875904</v>
      </c>
    </row>
    <row r="11" spans="1:16" x14ac:dyDescent="0.25">
      <c r="D11" t="s">
        <v>7</v>
      </c>
      <c r="E11" s="5">
        <v>489260</v>
      </c>
      <c r="F11" s="5">
        <v>919809</v>
      </c>
      <c r="G11" s="5">
        <v>2685904</v>
      </c>
      <c r="H11" s="5">
        <v>892733</v>
      </c>
      <c r="I11" s="5">
        <v>57114</v>
      </c>
      <c r="J11" s="5">
        <v>514674</v>
      </c>
      <c r="K11" s="5">
        <v>0</v>
      </c>
      <c r="L11" s="5">
        <v>831139</v>
      </c>
      <c r="M11" s="5">
        <v>241854</v>
      </c>
      <c r="N11" s="5">
        <v>581720</v>
      </c>
      <c r="O11" s="5">
        <v>705288</v>
      </c>
      <c r="P11" s="5">
        <v>961754</v>
      </c>
    </row>
    <row r="12" spans="1:16" x14ac:dyDescent="0.25">
      <c r="D12" t="s">
        <v>8</v>
      </c>
      <c r="E12" s="5">
        <v>0</v>
      </c>
      <c r="F12" s="5">
        <v>572542</v>
      </c>
      <c r="G12" s="5">
        <v>972160</v>
      </c>
      <c r="H12" s="5">
        <v>1866544</v>
      </c>
      <c r="I12" s="5">
        <v>670042</v>
      </c>
      <c r="J12" s="5">
        <v>892952</v>
      </c>
      <c r="K12" s="5">
        <v>0</v>
      </c>
      <c r="L12" s="5">
        <v>874448</v>
      </c>
      <c r="M12" s="5">
        <v>0</v>
      </c>
      <c r="N12" s="5">
        <v>2549622</v>
      </c>
      <c r="O12" s="5">
        <v>629926</v>
      </c>
      <c r="P12" s="5">
        <v>953686</v>
      </c>
    </row>
    <row r="13" spans="1:16" x14ac:dyDescent="0.25">
      <c r="D13" t="s">
        <v>9</v>
      </c>
      <c r="E13" s="5">
        <v>500383</v>
      </c>
      <c r="F13" s="5">
        <v>1016635</v>
      </c>
      <c r="G13" s="5">
        <v>0</v>
      </c>
      <c r="H13" s="5">
        <v>616658</v>
      </c>
      <c r="I13" s="5">
        <v>0</v>
      </c>
      <c r="J13" s="5">
        <v>0</v>
      </c>
      <c r="K13" s="5">
        <v>0</v>
      </c>
      <c r="L13" s="5">
        <v>0</v>
      </c>
      <c r="M13" s="5">
        <v>1658050</v>
      </c>
      <c r="N13" s="5">
        <v>1322021</v>
      </c>
      <c r="O13" s="5">
        <v>1115604</v>
      </c>
      <c r="P13" s="5">
        <v>0</v>
      </c>
    </row>
    <row r="14" spans="1:16" x14ac:dyDescent="0.25">
      <c r="A14" t="s">
        <v>18</v>
      </c>
      <c r="D14" s="3" t="s">
        <v>10</v>
      </c>
      <c r="E14" s="6">
        <v>316095</v>
      </c>
      <c r="F14" s="6">
        <v>1225720</v>
      </c>
      <c r="G14" s="6">
        <v>3011673</v>
      </c>
      <c r="H14" s="6">
        <v>1537972</v>
      </c>
      <c r="I14" s="6">
        <v>993847</v>
      </c>
      <c r="J14" s="6">
        <v>286519</v>
      </c>
      <c r="K14" s="6">
        <v>0</v>
      </c>
      <c r="L14" s="6">
        <v>1110865</v>
      </c>
      <c r="M14" s="6">
        <v>768296</v>
      </c>
      <c r="N14" s="6">
        <v>3871643</v>
      </c>
      <c r="O14" s="6">
        <v>2806553</v>
      </c>
      <c r="P14" s="6">
        <v>1104313</v>
      </c>
    </row>
    <row r="15" spans="1:16" x14ac:dyDescent="0.25">
      <c r="D15" s="2" t="s">
        <v>3</v>
      </c>
      <c r="E15" s="5">
        <v>0</v>
      </c>
      <c r="F15" s="5">
        <v>1225720</v>
      </c>
      <c r="G15" s="5">
        <v>325769</v>
      </c>
      <c r="H15" s="5">
        <v>501256</v>
      </c>
      <c r="I15" s="5">
        <v>102277</v>
      </c>
      <c r="J15" s="5">
        <v>0</v>
      </c>
      <c r="K15" s="5">
        <v>0</v>
      </c>
      <c r="L15" s="5">
        <v>958999</v>
      </c>
      <c r="M15" s="5">
        <v>0</v>
      </c>
      <c r="N15" s="5">
        <v>768932</v>
      </c>
      <c r="O15" s="5">
        <v>999943</v>
      </c>
      <c r="P15" s="5">
        <v>142559</v>
      </c>
    </row>
    <row r="16" spans="1:16" x14ac:dyDescent="0.25">
      <c r="D16" s="2" t="s">
        <v>4</v>
      </c>
      <c r="E16" s="5">
        <v>316095</v>
      </c>
      <c r="F16" s="5">
        <v>0</v>
      </c>
      <c r="G16" s="5">
        <v>1886043</v>
      </c>
      <c r="H16" s="5">
        <v>921314</v>
      </c>
      <c r="I16" s="5">
        <v>0</v>
      </c>
      <c r="J16" s="5">
        <v>286519</v>
      </c>
      <c r="K16" s="5">
        <v>0</v>
      </c>
      <c r="L16" s="5">
        <v>151866</v>
      </c>
      <c r="M16" s="5">
        <v>0</v>
      </c>
      <c r="N16" s="5">
        <v>0</v>
      </c>
      <c r="O16" s="5">
        <v>1115604</v>
      </c>
      <c r="P16" s="5">
        <v>961754</v>
      </c>
    </row>
    <row r="17" spans="1:16" x14ac:dyDescent="0.25">
      <c r="D17" s="2" t="s">
        <v>5</v>
      </c>
      <c r="E17" s="5">
        <v>0</v>
      </c>
      <c r="F17" s="5">
        <v>0</v>
      </c>
      <c r="G17" s="5">
        <v>799861</v>
      </c>
      <c r="H17" s="5">
        <v>115402</v>
      </c>
      <c r="I17" s="5">
        <v>891570</v>
      </c>
      <c r="J17" s="5">
        <v>0</v>
      </c>
      <c r="K17" s="5">
        <v>0</v>
      </c>
      <c r="L17" s="5">
        <v>0</v>
      </c>
      <c r="M17" s="5">
        <v>768296</v>
      </c>
      <c r="N17" s="5">
        <v>3102711</v>
      </c>
      <c r="O17" s="5">
        <v>691006</v>
      </c>
      <c r="P17" s="5">
        <v>0</v>
      </c>
    </row>
    <row r="18" spans="1:16" x14ac:dyDescent="0.25">
      <c r="A18" t="s">
        <v>18</v>
      </c>
      <c r="D18" s="3" t="s">
        <v>11</v>
      </c>
      <c r="E18" s="6">
        <v>1703978</v>
      </c>
      <c r="F18" s="6">
        <v>3030367</v>
      </c>
      <c r="G18" s="6">
        <v>972160</v>
      </c>
      <c r="H18" s="6">
        <v>2379300</v>
      </c>
      <c r="I18" s="6">
        <v>336504</v>
      </c>
      <c r="J18" s="6">
        <v>2060538</v>
      </c>
      <c r="K18" s="6">
        <v>350615</v>
      </c>
      <c r="L18" s="6">
        <v>746588</v>
      </c>
      <c r="M18" s="6">
        <v>1131608</v>
      </c>
      <c r="N18" s="6">
        <v>1475097</v>
      </c>
      <c r="O18" s="6">
        <v>335271</v>
      </c>
      <c r="P18" s="6">
        <v>1687031</v>
      </c>
    </row>
    <row r="19" spans="1:16" x14ac:dyDescent="0.25">
      <c r="D19" s="2" t="s">
        <v>3</v>
      </c>
      <c r="E19" s="5">
        <v>0</v>
      </c>
      <c r="F19" s="5">
        <v>2043241</v>
      </c>
      <c r="G19" s="5">
        <v>0</v>
      </c>
      <c r="H19" s="5">
        <v>1837963</v>
      </c>
      <c r="I19" s="5">
        <v>0</v>
      </c>
      <c r="J19" s="5">
        <v>606433</v>
      </c>
      <c r="K19" s="5">
        <v>350615</v>
      </c>
      <c r="L19" s="5">
        <v>24041</v>
      </c>
      <c r="M19" s="5">
        <v>889754</v>
      </c>
      <c r="N19" s="5">
        <v>893377</v>
      </c>
      <c r="O19" s="5">
        <v>0</v>
      </c>
      <c r="P19" s="5">
        <v>0</v>
      </c>
    </row>
    <row r="20" spans="1:16" x14ac:dyDescent="0.25">
      <c r="D20" s="2" t="s">
        <v>4</v>
      </c>
      <c r="E20" s="5">
        <v>926489</v>
      </c>
      <c r="F20" s="5">
        <v>987126</v>
      </c>
      <c r="G20" s="5">
        <v>972160</v>
      </c>
      <c r="H20" s="5">
        <v>0</v>
      </c>
      <c r="I20" s="5">
        <v>57114</v>
      </c>
      <c r="J20" s="5">
        <v>388471</v>
      </c>
      <c r="K20" s="5">
        <v>0</v>
      </c>
      <c r="L20" s="5">
        <v>18657</v>
      </c>
      <c r="M20" s="5">
        <v>241854</v>
      </c>
      <c r="N20" s="5">
        <v>581720</v>
      </c>
      <c r="O20" s="5">
        <v>0</v>
      </c>
      <c r="P20" s="5">
        <v>953686</v>
      </c>
    </row>
    <row r="21" spans="1:16" x14ac:dyDescent="0.25">
      <c r="D21" s="2" t="s">
        <v>5</v>
      </c>
      <c r="E21" s="5">
        <v>777489</v>
      </c>
      <c r="F21" s="5">
        <v>0</v>
      </c>
      <c r="G21" s="5">
        <v>0</v>
      </c>
      <c r="H21" s="5">
        <v>541337</v>
      </c>
      <c r="I21" s="5">
        <v>279390</v>
      </c>
      <c r="J21" s="5">
        <v>1065634</v>
      </c>
      <c r="K21" s="5">
        <v>0</v>
      </c>
      <c r="L21" s="5">
        <v>703890</v>
      </c>
      <c r="M21" s="5">
        <v>0</v>
      </c>
      <c r="N21" s="5">
        <v>0</v>
      </c>
      <c r="O21" s="5">
        <v>335271</v>
      </c>
      <c r="P21" s="5">
        <v>733345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6C32D-15B3-47E6-8786-4E4444F8B6CF}">
  <sheetPr codeName="Sheet1"/>
  <dimension ref="C4:T21"/>
  <sheetViews>
    <sheetView workbookViewId="0">
      <selection activeCell="E6" sqref="E6"/>
    </sheetView>
  </sheetViews>
  <sheetFormatPr defaultRowHeight="15" x14ac:dyDescent="0.25"/>
  <cols>
    <col min="3" max="3" width="3.42578125" customWidth="1"/>
    <col min="4" max="4" width="14.5703125" bestFit="1" customWidth="1"/>
    <col min="5" max="6" width="10.5703125" bestFit="1" customWidth="1"/>
    <col min="7" max="7" width="10.140625" bestFit="1" customWidth="1"/>
    <col min="8" max="14" width="10.5703125" bestFit="1" customWidth="1"/>
    <col min="15" max="15" width="10.140625" bestFit="1" customWidth="1"/>
    <col min="16" max="16" width="10.5703125" bestFit="1" customWidth="1"/>
    <col min="17" max="20" width="10.140625" bestFit="1" customWidth="1"/>
  </cols>
  <sheetData>
    <row r="4" spans="3:20" x14ac:dyDescent="0.25">
      <c r="D4" s="4" t="s">
        <v>0</v>
      </c>
      <c r="E4" s="7">
        <v>44561</v>
      </c>
      <c r="F4" s="7">
        <f>EOMONTH(E4,1)</f>
        <v>44592</v>
      </c>
      <c r="G4" s="7">
        <f>EOMONTH(F4,1)</f>
        <v>44620</v>
      </c>
      <c r="H4" s="7">
        <f t="shared" ref="H4:Q4" si="0">EOMONTH(G4,1)</f>
        <v>44651</v>
      </c>
      <c r="I4" s="7">
        <f t="shared" si="0"/>
        <v>44681</v>
      </c>
      <c r="J4" s="7">
        <f t="shared" si="0"/>
        <v>44712</v>
      </c>
      <c r="K4" s="7">
        <f t="shared" si="0"/>
        <v>44742</v>
      </c>
      <c r="L4" s="7">
        <f t="shared" si="0"/>
        <v>44773</v>
      </c>
      <c r="M4" s="7">
        <f t="shared" si="0"/>
        <v>44804</v>
      </c>
      <c r="N4" s="7">
        <f t="shared" si="0"/>
        <v>44834</v>
      </c>
      <c r="O4" s="7">
        <f t="shared" si="0"/>
        <v>44865</v>
      </c>
      <c r="P4" s="7">
        <f t="shared" si="0"/>
        <v>44895</v>
      </c>
      <c r="Q4" s="7">
        <f t="shared" si="0"/>
        <v>44926</v>
      </c>
      <c r="R4" s="1"/>
      <c r="S4" s="1"/>
      <c r="T4" s="1"/>
    </row>
    <row r="5" spans="3:20" x14ac:dyDescent="0.25">
      <c r="D5" s="3" t="s">
        <v>2</v>
      </c>
      <c r="E5" s="6">
        <f ca="1">SUM(E6:E8)</f>
        <v>1166936</v>
      </c>
      <c r="F5" s="6">
        <f t="shared" ref="F5:Q5" ca="1" si="1">SUM(F6:F8)</f>
        <v>1931962</v>
      </c>
      <c r="G5" s="6">
        <f t="shared" ca="1" si="1"/>
        <v>3927597</v>
      </c>
      <c r="H5" s="6">
        <f t="shared" ca="1" si="1"/>
        <v>5573449</v>
      </c>
      <c r="I5" s="6">
        <f t="shared" ca="1" si="1"/>
        <v>3551638</v>
      </c>
      <c r="J5" s="6">
        <f t="shared" ca="1" si="1"/>
        <v>3022825</v>
      </c>
      <c r="K5" s="6">
        <f t="shared" ca="1" si="1"/>
        <v>1086804</v>
      </c>
      <c r="L5" s="6">
        <f t="shared" ca="1" si="1"/>
        <v>1253610</v>
      </c>
      <c r="M5" s="6">
        <f t="shared" ca="1" si="1"/>
        <v>3208544</v>
      </c>
      <c r="N5" s="6">
        <f t="shared" ca="1" si="1"/>
        <v>2082092</v>
      </c>
      <c r="O5" s="6">
        <f t="shared" ca="1" si="1"/>
        <v>1901744</v>
      </c>
      <c r="P5" s="6">
        <f t="shared" ca="1" si="1"/>
        <v>2908865</v>
      </c>
      <c r="Q5" s="6">
        <f t="shared" ca="1" si="1"/>
        <v>1402475</v>
      </c>
    </row>
    <row r="6" spans="3:20" x14ac:dyDescent="0.25">
      <c r="C6">
        <v>1</v>
      </c>
      <c r="D6" t="s">
        <v>3</v>
      </c>
      <c r="E6" s="5">
        <f ca="1">SUMIFS(TBL_SAMPLE_DATA[Amount],TBL_SAMPLE_DATA[Orig Date EOM],'Report with Formula'!E$4,TBL_SAMPLE_DATA[Stage],$C6)</f>
        <v>0</v>
      </c>
      <c r="F6" s="5">
        <f ca="1">SUMIFS(TBL_SAMPLE_DATA[Amount],TBL_SAMPLE_DATA[Orig Date EOM],'Report with Formula'!F$4,TBL_SAMPLE_DATA[Stage],$C6)</f>
        <v>0</v>
      </c>
      <c r="G6" s="5">
        <f ca="1">SUMIFS(TBL_SAMPLE_DATA[Amount],TBL_SAMPLE_DATA[Orig Date EOM],'Report with Formula'!G$4,TBL_SAMPLE_DATA[Stage],$C6)</f>
        <v>2831281</v>
      </c>
      <c r="H6" s="5">
        <f ca="1">SUMIFS(TBL_SAMPLE_DATA[Amount],TBL_SAMPLE_DATA[Orig Date EOM],'Report with Formula'!H$4,TBL_SAMPLE_DATA[Stage],$C6)</f>
        <v>768526</v>
      </c>
      <c r="I6" s="5">
        <f ca="1">SUMIFS(TBL_SAMPLE_DATA[Amount],TBL_SAMPLE_DATA[Orig Date EOM],'Report with Formula'!I$4,TBL_SAMPLE_DATA[Stage],$C6)</f>
        <v>962742</v>
      </c>
      <c r="J6" s="5">
        <f ca="1">SUMIFS(TBL_SAMPLE_DATA[Amount],TBL_SAMPLE_DATA[Orig Date EOM],'Report with Formula'!J$4,TBL_SAMPLE_DATA[Stage],$C6)</f>
        <v>2056600</v>
      </c>
      <c r="K6" s="5">
        <f ca="1">SUMIFS(TBL_SAMPLE_DATA[Amount],TBL_SAMPLE_DATA[Orig Date EOM],'Report with Formula'!K$4,TBL_SAMPLE_DATA[Stage],$C6)</f>
        <v>0</v>
      </c>
      <c r="L6" s="5">
        <f ca="1">SUMIFS(TBL_SAMPLE_DATA[Amount],TBL_SAMPLE_DATA[Orig Date EOM],'Report with Formula'!L$4,TBL_SAMPLE_DATA[Stage],$C6)</f>
        <v>0</v>
      </c>
      <c r="M6" s="5">
        <f ca="1">SUMIFS(TBL_SAMPLE_DATA[Amount],TBL_SAMPLE_DATA[Orig Date EOM],'Report with Formula'!M$4,TBL_SAMPLE_DATA[Stage],$C6)</f>
        <v>1983237</v>
      </c>
      <c r="N6" s="5">
        <f ca="1">SUMIFS(TBL_SAMPLE_DATA[Amount],TBL_SAMPLE_DATA[Orig Date EOM],'Report with Formula'!N$4,TBL_SAMPLE_DATA[Stage],$C6)</f>
        <v>717807</v>
      </c>
      <c r="O6" s="5">
        <f ca="1">SUMIFS(TBL_SAMPLE_DATA[Amount],TBL_SAMPLE_DATA[Orig Date EOM],'Report with Formula'!O$4,TBL_SAMPLE_DATA[Stage],$C6)</f>
        <v>667005</v>
      </c>
      <c r="P6" s="5">
        <f ca="1">SUMIFS(TBL_SAMPLE_DATA[Amount],TBL_SAMPLE_DATA[Orig Date EOM],'Report with Formula'!P$4,TBL_SAMPLE_DATA[Stage],$C6)</f>
        <v>440922</v>
      </c>
      <c r="Q6" s="5">
        <f ca="1">SUMIFS(TBL_SAMPLE_DATA[Amount],TBL_SAMPLE_DATA[Orig Date EOM],'Report with Formula'!Q$4,TBL_SAMPLE_DATA[Stage],$C6)</f>
        <v>0</v>
      </c>
    </row>
    <row r="7" spans="3:20" x14ac:dyDescent="0.25">
      <c r="C7">
        <v>2</v>
      </c>
      <c r="D7" t="s">
        <v>4</v>
      </c>
      <c r="E7" s="5">
        <f ca="1">SUMIFS(TBL_SAMPLE_DATA[Amount],TBL_SAMPLE_DATA[Orig Date EOM],'Report with Formula'!E$4,TBL_SAMPLE_DATA[Stage],$C7)</f>
        <v>1166936</v>
      </c>
      <c r="F7" s="5">
        <f ca="1">SUMIFS(TBL_SAMPLE_DATA[Amount],TBL_SAMPLE_DATA[Orig Date EOM],'Report with Formula'!F$4,TBL_SAMPLE_DATA[Stage],$C7)</f>
        <v>1150320</v>
      </c>
      <c r="G7" s="5">
        <f ca="1">SUMIFS(TBL_SAMPLE_DATA[Amount],TBL_SAMPLE_DATA[Orig Date EOM],'Report with Formula'!G$4,TBL_SAMPLE_DATA[Stage],$C7)</f>
        <v>0</v>
      </c>
      <c r="H7" s="5">
        <f ca="1">SUMIFS(TBL_SAMPLE_DATA[Amount],TBL_SAMPLE_DATA[Orig Date EOM],'Report with Formula'!H$4,TBL_SAMPLE_DATA[Stage],$C7)</f>
        <v>2366421</v>
      </c>
      <c r="I7" s="5">
        <f ca="1">SUMIFS(TBL_SAMPLE_DATA[Amount],TBL_SAMPLE_DATA[Orig Date EOM],'Report with Formula'!I$4,TBL_SAMPLE_DATA[Stage],$C7)</f>
        <v>1629172</v>
      </c>
      <c r="J7" s="5">
        <f ca="1">SUMIFS(TBL_SAMPLE_DATA[Amount],TBL_SAMPLE_DATA[Orig Date EOM],'Report with Formula'!J$4,TBL_SAMPLE_DATA[Stage],$C7)</f>
        <v>402069</v>
      </c>
      <c r="K7" s="5">
        <f ca="1">SUMIFS(TBL_SAMPLE_DATA[Amount],TBL_SAMPLE_DATA[Orig Date EOM],'Report with Formula'!K$4,TBL_SAMPLE_DATA[Stage],$C7)</f>
        <v>1086804</v>
      </c>
      <c r="L7" s="5">
        <f ca="1">SUMIFS(TBL_SAMPLE_DATA[Amount],TBL_SAMPLE_DATA[Orig Date EOM],'Report with Formula'!L$4,TBL_SAMPLE_DATA[Stage],$C7)</f>
        <v>716989</v>
      </c>
      <c r="M7" s="5">
        <f ca="1">SUMIFS(TBL_SAMPLE_DATA[Amount],TBL_SAMPLE_DATA[Orig Date EOM],'Report with Formula'!M$4,TBL_SAMPLE_DATA[Stage],$C7)</f>
        <v>303499</v>
      </c>
      <c r="N7" s="5">
        <f ca="1">SUMIFS(TBL_SAMPLE_DATA[Amount],TBL_SAMPLE_DATA[Orig Date EOM],'Report with Formula'!N$4,TBL_SAMPLE_DATA[Stage],$C7)</f>
        <v>1364285</v>
      </c>
      <c r="O7" s="5">
        <f ca="1">SUMIFS(TBL_SAMPLE_DATA[Amount],TBL_SAMPLE_DATA[Orig Date EOM],'Report with Formula'!O$4,TBL_SAMPLE_DATA[Stage],$C7)</f>
        <v>980997</v>
      </c>
      <c r="P7" s="5">
        <f ca="1">SUMIFS(TBL_SAMPLE_DATA[Amount],TBL_SAMPLE_DATA[Orig Date EOM],'Report with Formula'!P$4,TBL_SAMPLE_DATA[Stage],$C7)</f>
        <v>1213568</v>
      </c>
      <c r="Q7" s="5">
        <f ca="1">SUMIFS(TBL_SAMPLE_DATA[Amount],TBL_SAMPLE_DATA[Orig Date EOM],'Report with Formula'!Q$4,TBL_SAMPLE_DATA[Stage],$C7)</f>
        <v>972154</v>
      </c>
    </row>
    <row r="8" spans="3:20" x14ac:dyDescent="0.25">
      <c r="C8">
        <v>3</v>
      </c>
      <c r="D8" t="s">
        <v>5</v>
      </c>
      <c r="E8" s="5">
        <f ca="1">SUMIFS(TBL_SAMPLE_DATA[Amount],TBL_SAMPLE_DATA[Orig Date EOM],'Report with Formula'!E$4,TBL_SAMPLE_DATA[Stage],$C8)</f>
        <v>0</v>
      </c>
      <c r="F8" s="5">
        <f ca="1">SUMIFS(TBL_SAMPLE_DATA[Amount],TBL_SAMPLE_DATA[Orig Date EOM],'Report with Formula'!F$4,TBL_SAMPLE_DATA[Stage],$C8)</f>
        <v>781642</v>
      </c>
      <c r="G8" s="5">
        <f ca="1">SUMIFS(TBL_SAMPLE_DATA[Amount],TBL_SAMPLE_DATA[Orig Date EOM],'Report with Formula'!G$4,TBL_SAMPLE_DATA[Stage],$C8)</f>
        <v>1096316</v>
      </c>
      <c r="H8" s="5">
        <f ca="1">SUMIFS(TBL_SAMPLE_DATA[Amount],TBL_SAMPLE_DATA[Orig Date EOM],'Report with Formula'!H$4,TBL_SAMPLE_DATA[Stage],$C8)</f>
        <v>2438502</v>
      </c>
      <c r="I8" s="5">
        <f ca="1">SUMIFS(TBL_SAMPLE_DATA[Amount],TBL_SAMPLE_DATA[Orig Date EOM],'Report with Formula'!I$4,TBL_SAMPLE_DATA[Stage],$C8)</f>
        <v>959724</v>
      </c>
      <c r="J8" s="5">
        <f ca="1">SUMIFS(TBL_SAMPLE_DATA[Amount],TBL_SAMPLE_DATA[Orig Date EOM],'Report with Formula'!J$4,TBL_SAMPLE_DATA[Stage],$C8)</f>
        <v>564156</v>
      </c>
      <c r="K8" s="5">
        <f ca="1">SUMIFS(TBL_SAMPLE_DATA[Amount],TBL_SAMPLE_DATA[Orig Date EOM],'Report with Formula'!K$4,TBL_SAMPLE_DATA[Stage],$C8)</f>
        <v>0</v>
      </c>
      <c r="L8" s="5">
        <f ca="1">SUMIFS(TBL_SAMPLE_DATA[Amount],TBL_SAMPLE_DATA[Orig Date EOM],'Report with Formula'!L$4,TBL_SAMPLE_DATA[Stage],$C8)</f>
        <v>536621</v>
      </c>
      <c r="M8" s="5">
        <f ca="1">SUMIFS(TBL_SAMPLE_DATA[Amount],TBL_SAMPLE_DATA[Orig Date EOM],'Report with Formula'!M$4,TBL_SAMPLE_DATA[Stage],$C8)</f>
        <v>921808</v>
      </c>
      <c r="N8" s="5">
        <f ca="1">SUMIFS(TBL_SAMPLE_DATA[Amount],TBL_SAMPLE_DATA[Orig Date EOM],'Report with Formula'!N$4,TBL_SAMPLE_DATA[Stage],$C8)</f>
        <v>0</v>
      </c>
      <c r="O8" s="5">
        <f ca="1">SUMIFS(TBL_SAMPLE_DATA[Amount],TBL_SAMPLE_DATA[Orig Date EOM],'Report with Formula'!O$4,TBL_SAMPLE_DATA[Stage],$C8)</f>
        <v>253742</v>
      </c>
      <c r="P8" s="5">
        <f ca="1">SUMIFS(TBL_SAMPLE_DATA[Amount],TBL_SAMPLE_DATA[Orig Date EOM],'Report with Formula'!P$4,TBL_SAMPLE_DATA[Stage],$C8)</f>
        <v>1254375</v>
      </c>
      <c r="Q8" s="5">
        <f ca="1">SUMIFS(TBL_SAMPLE_DATA[Amount],TBL_SAMPLE_DATA[Orig Date EOM],'Report with Formula'!Q$4,TBL_SAMPLE_DATA[Stage],$C8)</f>
        <v>430321</v>
      </c>
    </row>
    <row r="9" spans="3:20" ht="6" customHeight="1" x14ac:dyDescent="0.25"/>
    <row r="10" spans="3:20" x14ac:dyDescent="0.25">
      <c r="D10" t="s">
        <v>6</v>
      </c>
      <c r="E10" s="5">
        <f ca="1">SUMIFS(TBL_SAMPLE_DATA[Amount],TBL_SAMPLE_DATA[Orig Date EOM],'Report with Formula'!E$4,TBL_SAMPLE_DATA[Portfolio],'Report with Formula'!$D10)</f>
        <v>0</v>
      </c>
      <c r="F10" s="5">
        <f ca="1">SUMIFS(TBL_SAMPLE_DATA[Amount],TBL_SAMPLE_DATA[Orig Date EOM],'Report with Formula'!F$4,TBL_SAMPLE_DATA[Portfolio],'Report with Formula'!$D10)</f>
        <v>460242</v>
      </c>
      <c r="G10" s="5">
        <f ca="1">SUMIFS(TBL_SAMPLE_DATA[Amount],TBL_SAMPLE_DATA[Orig Date EOM],'Report with Formula'!G$4,TBL_SAMPLE_DATA[Portfolio],'Report with Formula'!$D10)</f>
        <v>0</v>
      </c>
      <c r="H10" s="5">
        <f ca="1">SUMIFS(TBL_SAMPLE_DATA[Amount],TBL_SAMPLE_DATA[Orig Date EOM],'Report with Formula'!H$4,TBL_SAMPLE_DATA[Portfolio],'Report with Formula'!$D10)</f>
        <v>1239005</v>
      </c>
      <c r="I10" s="5">
        <f ca="1">SUMIFS(TBL_SAMPLE_DATA[Amount],TBL_SAMPLE_DATA[Orig Date EOM],'Report with Formula'!I$4,TBL_SAMPLE_DATA[Portfolio],'Report with Formula'!$D10)</f>
        <v>1027024</v>
      </c>
      <c r="J10" s="5">
        <f ca="1">SUMIFS(TBL_SAMPLE_DATA[Amount],TBL_SAMPLE_DATA[Orig Date EOM],'Report with Formula'!J$4,TBL_SAMPLE_DATA[Portfolio],'Report with Formula'!$D10)</f>
        <v>850839</v>
      </c>
      <c r="K10" s="5">
        <f ca="1">SUMIFS(TBL_SAMPLE_DATA[Amount],TBL_SAMPLE_DATA[Orig Date EOM],'Report with Formula'!K$4,TBL_SAMPLE_DATA[Portfolio],'Report with Formula'!$D10)</f>
        <v>0</v>
      </c>
      <c r="L10" s="5">
        <f ca="1">SUMIFS(TBL_SAMPLE_DATA[Amount],TBL_SAMPLE_DATA[Orig Date EOM],'Report with Formula'!L$4,TBL_SAMPLE_DATA[Portfolio],'Report with Formula'!$D10)</f>
        <v>0</v>
      </c>
      <c r="M10" s="5">
        <f ca="1">SUMIFS(TBL_SAMPLE_DATA[Amount],TBL_SAMPLE_DATA[Orig Date EOM],'Report with Formula'!M$4,TBL_SAMPLE_DATA[Portfolio],'Report with Formula'!$D10)</f>
        <v>0</v>
      </c>
      <c r="N10" s="5">
        <f ca="1">SUMIFS(TBL_SAMPLE_DATA[Amount],TBL_SAMPLE_DATA[Orig Date EOM],'Report with Formula'!N$4,TBL_SAMPLE_DATA[Portfolio],'Report with Formula'!$D10)</f>
        <v>1364285</v>
      </c>
      <c r="O10" s="5">
        <f ca="1">SUMIFS(TBL_SAMPLE_DATA[Amount],TBL_SAMPLE_DATA[Orig Date EOM],'Report with Formula'!O$4,TBL_SAMPLE_DATA[Portfolio],'Report with Formula'!$D10)</f>
        <v>0</v>
      </c>
      <c r="P10" s="5">
        <f ca="1">SUMIFS(TBL_SAMPLE_DATA[Amount],TBL_SAMPLE_DATA[Orig Date EOM],'Report with Formula'!P$4,TBL_SAMPLE_DATA[Portfolio],'Report with Formula'!$D10)</f>
        <v>271051</v>
      </c>
      <c r="Q10" s="5">
        <f ca="1">SUMIFS(TBL_SAMPLE_DATA[Amount],TBL_SAMPLE_DATA[Orig Date EOM],'Report with Formula'!Q$4,TBL_SAMPLE_DATA[Portfolio],'Report with Formula'!$D10)</f>
        <v>0</v>
      </c>
    </row>
    <row r="11" spans="3:20" x14ac:dyDescent="0.25">
      <c r="D11" t="s">
        <v>7</v>
      </c>
      <c r="E11" s="5">
        <f ca="1">SUMIFS(TBL_SAMPLE_DATA[Amount],TBL_SAMPLE_DATA[Orig Date EOM],'Report with Formula'!E$4,TBL_SAMPLE_DATA[Portfolio],'Report with Formula'!$D11)</f>
        <v>0</v>
      </c>
      <c r="F11" s="5">
        <f ca="1">SUMIFS(TBL_SAMPLE_DATA[Amount],TBL_SAMPLE_DATA[Orig Date EOM],'Report with Formula'!F$4,TBL_SAMPLE_DATA[Portfolio],'Report with Formula'!$D11)</f>
        <v>1471720</v>
      </c>
      <c r="G11" s="5">
        <f ca="1">SUMIFS(TBL_SAMPLE_DATA[Amount],TBL_SAMPLE_DATA[Orig Date EOM],'Report with Formula'!G$4,TBL_SAMPLE_DATA[Portfolio],'Report with Formula'!$D11)</f>
        <v>1360779</v>
      </c>
      <c r="H11" s="5">
        <f ca="1">SUMIFS(TBL_SAMPLE_DATA[Amount],TBL_SAMPLE_DATA[Orig Date EOM],'Report with Formula'!H$4,TBL_SAMPLE_DATA[Portfolio],'Report with Formula'!$D11)</f>
        <v>1653931</v>
      </c>
      <c r="I11" s="5">
        <f ca="1">SUMIFS(TBL_SAMPLE_DATA[Amount],TBL_SAMPLE_DATA[Orig Date EOM],'Report with Formula'!I$4,TBL_SAMPLE_DATA[Portfolio],'Report with Formula'!$D11)</f>
        <v>123158</v>
      </c>
      <c r="J11" s="5">
        <f ca="1">SUMIFS(TBL_SAMPLE_DATA[Amount],TBL_SAMPLE_DATA[Orig Date EOM],'Report with Formula'!J$4,TBL_SAMPLE_DATA[Portfolio],'Report with Formula'!$D11)</f>
        <v>16509</v>
      </c>
      <c r="K11" s="5">
        <f ca="1">SUMIFS(TBL_SAMPLE_DATA[Amount],TBL_SAMPLE_DATA[Orig Date EOM],'Report with Formula'!K$4,TBL_SAMPLE_DATA[Portfolio],'Report with Formula'!$D11)</f>
        <v>0</v>
      </c>
      <c r="L11" s="5">
        <f ca="1">SUMIFS(TBL_SAMPLE_DATA[Amount],TBL_SAMPLE_DATA[Orig Date EOM],'Report with Formula'!L$4,TBL_SAMPLE_DATA[Portfolio],'Report with Formula'!$D11)</f>
        <v>524150</v>
      </c>
      <c r="M11" s="5">
        <f ca="1">SUMIFS(TBL_SAMPLE_DATA[Amount],TBL_SAMPLE_DATA[Orig Date EOM],'Report with Formula'!M$4,TBL_SAMPLE_DATA[Portfolio],'Report with Formula'!$D11)</f>
        <v>1245007</v>
      </c>
      <c r="N11" s="5">
        <f ca="1">SUMIFS(TBL_SAMPLE_DATA[Amount],TBL_SAMPLE_DATA[Orig Date EOM],'Report with Formula'!N$4,TBL_SAMPLE_DATA[Portfolio],'Report with Formula'!$D11)</f>
        <v>0</v>
      </c>
      <c r="O11" s="5">
        <f ca="1">SUMIFS(TBL_SAMPLE_DATA[Amount],TBL_SAMPLE_DATA[Orig Date EOM],'Report with Formula'!O$4,TBL_SAMPLE_DATA[Portfolio],'Report with Formula'!$D11)</f>
        <v>253742</v>
      </c>
      <c r="P11" s="5">
        <f ca="1">SUMIFS(TBL_SAMPLE_DATA[Amount],TBL_SAMPLE_DATA[Orig Date EOM],'Report with Formula'!P$4,TBL_SAMPLE_DATA[Portfolio],'Report with Formula'!$D11)</f>
        <v>1498997</v>
      </c>
      <c r="Q11" s="5">
        <f ca="1">SUMIFS(TBL_SAMPLE_DATA[Amount],TBL_SAMPLE_DATA[Orig Date EOM],'Report with Formula'!Q$4,TBL_SAMPLE_DATA[Portfolio],'Report with Formula'!$D11)</f>
        <v>430321</v>
      </c>
    </row>
    <row r="12" spans="3:20" x14ac:dyDescent="0.25">
      <c r="D12" t="s">
        <v>8</v>
      </c>
      <c r="E12" s="5">
        <f ca="1">SUMIFS(TBL_SAMPLE_DATA[Amount],TBL_SAMPLE_DATA[Orig Date EOM],'Report with Formula'!E$4,TBL_SAMPLE_DATA[Portfolio],'Report with Formula'!$D12)</f>
        <v>935974</v>
      </c>
      <c r="F12" s="5">
        <f ca="1">SUMIFS(TBL_SAMPLE_DATA[Amount],TBL_SAMPLE_DATA[Orig Date EOM],'Report with Formula'!F$4,TBL_SAMPLE_DATA[Portfolio],'Report with Formula'!$D12)</f>
        <v>0</v>
      </c>
      <c r="G12" s="5">
        <f ca="1">SUMIFS(TBL_SAMPLE_DATA[Amount],TBL_SAMPLE_DATA[Orig Date EOM],'Report with Formula'!G$4,TBL_SAMPLE_DATA[Portfolio],'Report with Formula'!$D12)</f>
        <v>797371</v>
      </c>
      <c r="H12" s="5">
        <f ca="1">SUMIFS(TBL_SAMPLE_DATA[Amount],TBL_SAMPLE_DATA[Orig Date EOM],'Report with Formula'!H$4,TBL_SAMPLE_DATA[Portfolio],'Report with Formula'!$D12)</f>
        <v>2175569</v>
      </c>
      <c r="I12" s="5">
        <f ca="1">SUMIFS(TBL_SAMPLE_DATA[Amount],TBL_SAMPLE_DATA[Orig Date EOM],'Report with Formula'!I$4,TBL_SAMPLE_DATA[Portfolio],'Report with Formula'!$D12)</f>
        <v>1701609</v>
      </c>
      <c r="J12" s="5">
        <f ca="1">SUMIFS(TBL_SAMPLE_DATA[Amount],TBL_SAMPLE_DATA[Orig Date EOM],'Report with Formula'!J$4,TBL_SAMPLE_DATA[Portfolio],'Report with Formula'!$D12)</f>
        <v>910063</v>
      </c>
      <c r="K12" s="5">
        <f ca="1">SUMIFS(TBL_SAMPLE_DATA[Amount],TBL_SAMPLE_DATA[Orig Date EOM],'Report with Formula'!K$4,TBL_SAMPLE_DATA[Portfolio],'Report with Formula'!$D12)</f>
        <v>387092</v>
      </c>
      <c r="L12" s="5">
        <f ca="1">SUMIFS(TBL_SAMPLE_DATA[Amount],TBL_SAMPLE_DATA[Orig Date EOM],'Report with Formula'!L$4,TBL_SAMPLE_DATA[Portfolio],'Report with Formula'!$D12)</f>
        <v>373632</v>
      </c>
      <c r="M12" s="5">
        <f ca="1">SUMIFS(TBL_SAMPLE_DATA[Amount],TBL_SAMPLE_DATA[Orig Date EOM],'Report with Formula'!M$4,TBL_SAMPLE_DATA[Portfolio],'Report with Formula'!$D12)</f>
        <v>303499</v>
      </c>
      <c r="N12" s="5">
        <f ca="1">SUMIFS(TBL_SAMPLE_DATA[Amount],TBL_SAMPLE_DATA[Orig Date EOM],'Report with Formula'!N$4,TBL_SAMPLE_DATA[Portfolio],'Report with Formula'!$D12)</f>
        <v>717807</v>
      </c>
      <c r="O12" s="5">
        <f ca="1">SUMIFS(TBL_SAMPLE_DATA[Amount],TBL_SAMPLE_DATA[Orig Date EOM],'Report with Formula'!O$4,TBL_SAMPLE_DATA[Portfolio],'Report with Formula'!$D12)</f>
        <v>667005</v>
      </c>
      <c r="P12" s="5">
        <f ca="1">SUMIFS(TBL_SAMPLE_DATA[Amount],TBL_SAMPLE_DATA[Orig Date EOM],'Report with Formula'!P$4,TBL_SAMPLE_DATA[Portfolio],'Report with Formula'!$D12)</f>
        <v>0</v>
      </c>
      <c r="Q12" s="5">
        <f ca="1">SUMIFS(TBL_SAMPLE_DATA[Amount],TBL_SAMPLE_DATA[Orig Date EOM],'Report with Formula'!Q$4,TBL_SAMPLE_DATA[Portfolio],'Report with Formula'!$D12)</f>
        <v>395316</v>
      </c>
    </row>
    <row r="13" spans="3:20" x14ac:dyDescent="0.25">
      <c r="D13" t="s">
        <v>9</v>
      </c>
      <c r="E13" s="5">
        <f ca="1">SUMIFS(TBL_SAMPLE_DATA[Amount],TBL_SAMPLE_DATA[Orig Date EOM],'Report with Formula'!E$4,TBL_SAMPLE_DATA[Portfolio],'Report with Formula'!$D13)</f>
        <v>230962</v>
      </c>
      <c r="F13" s="5">
        <f ca="1">SUMIFS(TBL_SAMPLE_DATA[Amount],TBL_SAMPLE_DATA[Orig Date EOM],'Report with Formula'!F$4,TBL_SAMPLE_DATA[Portfolio],'Report with Formula'!$D13)</f>
        <v>0</v>
      </c>
      <c r="G13" s="5">
        <f ca="1">SUMIFS(TBL_SAMPLE_DATA[Amount],TBL_SAMPLE_DATA[Orig Date EOM],'Report with Formula'!G$4,TBL_SAMPLE_DATA[Portfolio],'Report with Formula'!$D13)</f>
        <v>1769447</v>
      </c>
      <c r="H13" s="5">
        <f ca="1">SUMIFS(TBL_SAMPLE_DATA[Amount],TBL_SAMPLE_DATA[Orig Date EOM],'Report with Formula'!H$4,TBL_SAMPLE_DATA[Portfolio],'Report with Formula'!$D13)</f>
        <v>504944</v>
      </c>
      <c r="I13" s="5">
        <f ca="1">SUMIFS(TBL_SAMPLE_DATA[Amount],TBL_SAMPLE_DATA[Orig Date EOM],'Report with Formula'!I$4,TBL_SAMPLE_DATA[Portfolio],'Report with Formula'!$D13)</f>
        <v>699847</v>
      </c>
      <c r="J13" s="5">
        <f ca="1">SUMIFS(TBL_SAMPLE_DATA[Amount],TBL_SAMPLE_DATA[Orig Date EOM],'Report with Formula'!J$4,TBL_SAMPLE_DATA[Portfolio],'Report with Formula'!$D13)</f>
        <v>1245414</v>
      </c>
      <c r="K13" s="5">
        <f ca="1">SUMIFS(TBL_SAMPLE_DATA[Amount],TBL_SAMPLE_DATA[Orig Date EOM],'Report with Formula'!K$4,TBL_SAMPLE_DATA[Portfolio],'Report with Formula'!$D13)</f>
        <v>699712</v>
      </c>
      <c r="L13" s="5">
        <f ca="1">SUMIFS(TBL_SAMPLE_DATA[Amount],TBL_SAMPLE_DATA[Orig Date EOM],'Report with Formula'!L$4,TBL_SAMPLE_DATA[Portfolio],'Report with Formula'!$D13)</f>
        <v>355828</v>
      </c>
      <c r="M13" s="5">
        <f ca="1">SUMIFS(TBL_SAMPLE_DATA[Amount],TBL_SAMPLE_DATA[Orig Date EOM],'Report with Formula'!M$4,TBL_SAMPLE_DATA[Portfolio],'Report with Formula'!$D13)</f>
        <v>1660038</v>
      </c>
      <c r="N13" s="5">
        <f ca="1">SUMIFS(TBL_SAMPLE_DATA[Amount],TBL_SAMPLE_DATA[Orig Date EOM],'Report with Formula'!N$4,TBL_SAMPLE_DATA[Portfolio],'Report with Formula'!$D13)</f>
        <v>0</v>
      </c>
      <c r="O13" s="5">
        <f ca="1">SUMIFS(TBL_SAMPLE_DATA[Amount],TBL_SAMPLE_DATA[Orig Date EOM],'Report with Formula'!O$4,TBL_SAMPLE_DATA[Portfolio],'Report with Formula'!$D13)</f>
        <v>980997</v>
      </c>
      <c r="P13" s="5">
        <f ca="1">SUMIFS(TBL_SAMPLE_DATA[Amount],TBL_SAMPLE_DATA[Orig Date EOM],'Report with Formula'!P$4,TBL_SAMPLE_DATA[Portfolio],'Report with Formula'!$D13)</f>
        <v>1138817</v>
      </c>
      <c r="Q13" s="5">
        <f ca="1">SUMIFS(TBL_SAMPLE_DATA[Amount],TBL_SAMPLE_DATA[Orig Date EOM],'Report with Formula'!Q$4,TBL_SAMPLE_DATA[Portfolio],'Report with Formula'!$D13)</f>
        <v>576838</v>
      </c>
    </row>
    <row r="14" spans="3:20" x14ac:dyDescent="0.25">
      <c r="D14" s="3" t="s">
        <v>10</v>
      </c>
      <c r="E14" s="6">
        <f ca="1">SUM(E15:E17)</f>
        <v>230962</v>
      </c>
      <c r="F14" s="6">
        <f t="shared" ref="F14:Q14" ca="1" si="2">SUM(F15:F17)</f>
        <v>336320</v>
      </c>
      <c r="G14" s="6">
        <f t="shared" ca="1" si="2"/>
        <v>566702</v>
      </c>
      <c r="H14" s="6">
        <f t="shared" ca="1" si="2"/>
        <v>3312146</v>
      </c>
      <c r="I14" s="6">
        <f t="shared" ca="1" si="2"/>
        <v>2285076</v>
      </c>
      <c r="J14" s="6">
        <f t="shared" ca="1" si="2"/>
        <v>1163046</v>
      </c>
      <c r="K14" s="6">
        <f t="shared" ca="1" si="2"/>
        <v>0</v>
      </c>
      <c r="L14" s="6">
        <f t="shared" ca="1" si="2"/>
        <v>0</v>
      </c>
      <c r="M14" s="6">
        <f t="shared" ca="1" si="2"/>
        <v>2260969</v>
      </c>
      <c r="N14" s="6">
        <f t="shared" ca="1" si="2"/>
        <v>0</v>
      </c>
      <c r="O14" s="6">
        <f t="shared" ca="1" si="2"/>
        <v>1901744</v>
      </c>
      <c r="P14" s="6">
        <f t="shared" ca="1" si="2"/>
        <v>2122141</v>
      </c>
      <c r="Q14" s="6">
        <f t="shared" ca="1" si="2"/>
        <v>1402475</v>
      </c>
    </row>
    <row r="15" spans="3:20" x14ac:dyDescent="0.25">
      <c r="C15">
        <v>1</v>
      </c>
      <c r="D15" s="2" t="s">
        <v>3</v>
      </c>
      <c r="E15" s="5">
        <f ca="1">SUMIFS(TBL_SAMPLE_DATA[Amount],TBL_SAMPLE_DATA[Orig Date EOM],'Report with Formula'!E$4,TBL_SAMPLE_DATA[Stage],$C15,TBL_SAMPLE_DATA[Risk Type],"Cash")</f>
        <v>0</v>
      </c>
      <c r="F15" s="5">
        <f ca="1">SUMIFS(TBL_SAMPLE_DATA[Amount],TBL_SAMPLE_DATA[Orig Date EOM],'Report with Formula'!F$4,TBL_SAMPLE_DATA[Stage],$C15,TBL_SAMPLE_DATA[Risk Type],"Cash")</f>
        <v>0</v>
      </c>
      <c r="G15" s="5">
        <f ca="1">SUMIFS(TBL_SAMPLE_DATA[Amount],TBL_SAMPLE_DATA[Orig Date EOM],'Report with Formula'!G$4,TBL_SAMPLE_DATA[Stage],$C15,TBL_SAMPLE_DATA[Risk Type],"Cash")</f>
        <v>566702</v>
      </c>
      <c r="H15" s="5">
        <f ca="1">SUMIFS(TBL_SAMPLE_DATA[Amount],TBL_SAMPLE_DATA[Orig Date EOM],'Report with Formula'!H$4,TBL_SAMPLE_DATA[Stage],$C15,TBL_SAMPLE_DATA[Risk Type],"Cash")</f>
        <v>718135</v>
      </c>
      <c r="I15" s="5">
        <f ca="1">SUMIFS(TBL_SAMPLE_DATA[Amount],TBL_SAMPLE_DATA[Orig Date EOM],'Report with Formula'!I$4,TBL_SAMPLE_DATA[Stage],$C15,TBL_SAMPLE_DATA[Risk Type],"Cash")</f>
        <v>583467</v>
      </c>
      <c r="J15" s="5">
        <f ca="1">SUMIFS(TBL_SAMPLE_DATA[Amount],TBL_SAMPLE_DATA[Orig Date EOM],'Report with Formula'!J$4,TBL_SAMPLE_DATA[Stage],$C15,TBL_SAMPLE_DATA[Risk Type],"Cash")</f>
        <v>1146537</v>
      </c>
      <c r="K15" s="5">
        <f ca="1">SUMIFS(TBL_SAMPLE_DATA[Amount],TBL_SAMPLE_DATA[Orig Date EOM],'Report with Formula'!K$4,TBL_SAMPLE_DATA[Stage],$C15,TBL_SAMPLE_DATA[Risk Type],"Cash")</f>
        <v>0</v>
      </c>
      <c r="L15" s="5">
        <f ca="1">SUMIFS(TBL_SAMPLE_DATA[Amount],TBL_SAMPLE_DATA[Orig Date EOM],'Report with Formula'!L$4,TBL_SAMPLE_DATA[Stage],$C15,TBL_SAMPLE_DATA[Risk Type],"Cash")</f>
        <v>0</v>
      </c>
      <c r="M15" s="5">
        <f ca="1">SUMIFS(TBL_SAMPLE_DATA[Amount],TBL_SAMPLE_DATA[Orig Date EOM],'Report with Formula'!M$4,TBL_SAMPLE_DATA[Stage],$C15,TBL_SAMPLE_DATA[Risk Type],"Cash")</f>
        <v>1339161</v>
      </c>
      <c r="N15" s="5">
        <f ca="1">SUMIFS(TBL_SAMPLE_DATA[Amount],TBL_SAMPLE_DATA[Orig Date EOM],'Report with Formula'!N$4,TBL_SAMPLE_DATA[Stage],$C15,TBL_SAMPLE_DATA[Risk Type],"Cash")</f>
        <v>0</v>
      </c>
      <c r="O15" s="5">
        <f ca="1">SUMIFS(TBL_SAMPLE_DATA[Amount],TBL_SAMPLE_DATA[Orig Date EOM],'Report with Formula'!O$4,TBL_SAMPLE_DATA[Stage],$C15,TBL_SAMPLE_DATA[Risk Type],"Cash")</f>
        <v>667005</v>
      </c>
      <c r="P15" s="5">
        <f ca="1">SUMIFS(TBL_SAMPLE_DATA[Amount],TBL_SAMPLE_DATA[Orig Date EOM],'Report with Formula'!P$4,TBL_SAMPLE_DATA[Stage],$C15,TBL_SAMPLE_DATA[Risk Type],"Cash")</f>
        <v>440922</v>
      </c>
      <c r="Q15" s="5">
        <f ca="1">SUMIFS(TBL_SAMPLE_DATA[Amount],TBL_SAMPLE_DATA[Orig Date EOM],'Report with Formula'!Q$4,TBL_SAMPLE_DATA[Stage],$C15,TBL_SAMPLE_DATA[Risk Type],"Cash")</f>
        <v>0</v>
      </c>
    </row>
    <row r="16" spans="3:20" x14ac:dyDescent="0.25">
      <c r="C16">
        <v>2</v>
      </c>
      <c r="D16" s="2" t="s">
        <v>4</v>
      </c>
      <c r="E16" s="5">
        <f ca="1">SUMIFS(TBL_SAMPLE_DATA[Amount],TBL_SAMPLE_DATA[Orig Date EOM],'Report with Formula'!E$4,TBL_SAMPLE_DATA[Stage],$C16,TBL_SAMPLE_DATA[Risk Type],"Cash")</f>
        <v>230962</v>
      </c>
      <c r="F16" s="5">
        <f ca="1">SUMIFS(TBL_SAMPLE_DATA[Amount],TBL_SAMPLE_DATA[Orig Date EOM],'Report with Formula'!F$4,TBL_SAMPLE_DATA[Stage],$C16,TBL_SAMPLE_DATA[Risk Type],"Cash")</f>
        <v>336320</v>
      </c>
      <c r="G16" s="5">
        <f ca="1">SUMIFS(TBL_SAMPLE_DATA[Amount],TBL_SAMPLE_DATA[Orig Date EOM],'Report with Formula'!G$4,TBL_SAMPLE_DATA[Stage],$C16,TBL_SAMPLE_DATA[Risk Type],"Cash")</f>
        <v>0</v>
      </c>
      <c r="H16" s="5">
        <f ca="1">SUMIFS(TBL_SAMPLE_DATA[Amount],TBL_SAMPLE_DATA[Orig Date EOM],'Report with Formula'!H$4,TBL_SAMPLE_DATA[Stage],$C16,TBL_SAMPLE_DATA[Risk Type],"Cash")</f>
        <v>1279498</v>
      </c>
      <c r="I16" s="5">
        <f ca="1">SUMIFS(TBL_SAMPLE_DATA[Amount],TBL_SAMPLE_DATA[Orig Date EOM],'Report with Formula'!I$4,TBL_SAMPLE_DATA[Stage],$C16,TBL_SAMPLE_DATA[Risk Type],"Cash")</f>
        <v>1512792</v>
      </c>
      <c r="J16" s="5">
        <f ca="1">SUMIFS(TBL_SAMPLE_DATA[Amount],TBL_SAMPLE_DATA[Orig Date EOM],'Report with Formula'!J$4,TBL_SAMPLE_DATA[Stage],$C16,TBL_SAMPLE_DATA[Risk Type],"Cash")</f>
        <v>0</v>
      </c>
      <c r="K16" s="5">
        <f ca="1">SUMIFS(TBL_SAMPLE_DATA[Amount],TBL_SAMPLE_DATA[Orig Date EOM],'Report with Formula'!K$4,TBL_SAMPLE_DATA[Stage],$C16,TBL_SAMPLE_DATA[Risk Type],"Cash")</f>
        <v>0</v>
      </c>
      <c r="L16" s="5">
        <f ca="1">SUMIFS(TBL_SAMPLE_DATA[Amount],TBL_SAMPLE_DATA[Orig Date EOM],'Report with Formula'!L$4,TBL_SAMPLE_DATA[Stage],$C16,TBL_SAMPLE_DATA[Risk Type],"Cash")</f>
        <v>0</v>
      </c>
      <c r="M16" s="5">
        <f ca="1">SUMIFS(TBL_SAMPLE_DATA[Amount],TBL_SAMPLE_DATA[Orig Date EOM],'Report with Formula'!M$4,TBL_SAMPLE_DATA[Stage],$C16,TBL_SAMPLE_DATA[Risk Type],"Cash")</f>
        <v>0</v>
      </c>
      <c r="N16" s="5">
        <f ca="1">SUMIFS(TBL_SAMPLE_DATA[Amount],TBL_SAMPLE_DATA[Orig Date EOM],'Report with Formula'!N$4,TBL_SAMPLE_DATA[Stage],$C16,TBL_SAMPLE_DATA[Risk Type],"Cash")</f>
        <v>0</v>
      </c>
      <c r="O16" s="5">
        <f ca="1">SUMIFS(TBL_SAMPLE_DATA[Amount],TBL_SAMPLE_DATA[Orig Date EOM],'Report with Formula'!O$4,TBL_SAMPLE_DATA[Stage],$C16,TBL_SAMPLE_DATA[Risk Type],"Cash")</f>
        <v>980997</v>
      </c>
      <c r="P16" s="5">
        <f ca="1">SUMIFS(TBL_SAMPLE_DATA[Amount],TBL_SAMPLE_DATA[Orig Date EOM],'Report with Formula'!P$4,TBL_SAMPLE_DATA[Stage],$C16,TBL_SAMPLE_DATA[Risk Type],"Cash")</f>
        <v>697895</v>
      </c>
      <c r="Q16" s="5">
        <f ca="1">SUMIFS(TBL_SAMPLE_DATA[Amount],TBL_SAMPLE_DATA[Orig Date EOM],'Report with Formula'!Q$4,TBL_SAMPLE_DATA[Stage],$C16,TBL_SAMPLE_DATA[Risk Type],"Cash")</f>
        <v>972154</v>
      </c>
    </row>
    <row r="17" spans="3:17" x14ac:dyDescent="0.25">
      <c r="C17">
        <v>3</v>
      </c>
      <c r="D17" s="2" t="s">
        <v>5</v>
      </c>
      <c r="E17" s="5">
        <f ca="1">SUMIFS(TBL_SAMPLE_DATA[Amount],TBL_SAMPLE_DATA[Orig Date EOM],'Report with Formula'!E$4,TBL_SAMPLE_DATA[Stage],$C17,TBL_SAMPLE_DATA[Risk Type],"Cash")</f>
        <v>0</v>
      </c>
      <c r="F17" s="5">
        <f ca="1">SUMIFS(TBL_SAMPLE_DATA[Amount],TBL_SAMPLE_DATA[Orig Date EOM],'Report with Formula'!F$4,TBL_SAMPLE_DATA[Stage],$C17,TBL_SAMPLE_DATA[Risk Type],"Cash")</f>
        <v>0</v>
      </c>
      <c r="G17" s="5">
        <f ca="1">SUMIFS(TBL_SAMPLE_DATA[Amount],TBL_SAMPLE_DATA[Orig Date EOM],'Report with Formula'!G$4,TBL_SAMPLE_DATA[Stage],$C17,TBL_SAMPLE_DATA[Risk Type],"Cash")</f>
        <v>0</v>
      </c>
      <c r="H17" s="5">
        <f ca="1">SUMIFS(TBL_SAMPLE_DATA[Amount],TBL_SAMPLE_DATA[Orig Date EOM],'Report with Formula'!H$4,TBL_SAMPLE_DATA[Stage],$C17,TBL_SAMPLE_DATA[Risk Type],"Cash")</f>
        <v>1314513</v>
      </c>
      <c r="I17" s="5">
        <f ca="1">SUMIFS(TBL_SAMPLE_DATA[Amount],TBL_SAMPLE_DATA[Orig Date EOM],'Report with Formula'!I$4,TBL_SAMPLE_DATA[Stage],$C17,TBL_SAMPLE_DATA[Risk Type],"Cash")</f>
        <v>188817</v>
      </c>
      <c r="J17" s="5">
        <f ca="1">SUMIFS(TBL_SAMPLE_DATA[Amount],TBL_SAMPLE_DATA[Orig Date EOM],'Report with Formula'!J$4,TBL_SAMPLE_DATA[Stage],$C17,TBL_SAMPLE_DATA[Risk Type],"Cash")</f>
        <v>16509</v>
      </c>
      <c r="K17" s="5">
        <f ca="1">SUMIFS(TBL_SAMPLE_DATA[Amount],TBL_SAMPLE_DATA[Orig Date EOM],'Report with Formula'!K$4,TBL_SAMPLE_DATA[Stage],$C17,TBL_SAMPLE_DATA[Risk Type],"Cash")</f>
        <v>0</v>
      </c>
      <c r="L17" s="5">
        <f ca="1">SUMIFS(TBL_SAMPLE_DATA[Amount],TBL_SAMPLE_DATA[Orig Date EOM],'Report with Formula'!L$4,TBL_SAMPLE_DATA[Stage],$C17,TBL_SAMPLE_DATA[Risk Type],"Cash")</f>
        <v>0</v>
      </c>
      <c r="M17" s="5">
        <f ca="1">SUMIFS(TBL_SAMPLE_DATA[Amount],TBL_SAMPLE_DATA[Orig Date EOM],'Report with Formula'!M$4,TBL_SAMPLE_DATA[Stage],$C17,TBL_SAMPLE_DATA[Risk Type],"Cash")</f>
        <v>921808</v>
      </c>
      <c r="N17" s="5">
        <f ca="1">SUMIFS(TBL_SAMPLE_DATA[Amount],TBL_SAMPLE_DATA[Orig Date EOM],'Report with Formula'!N$4,TBL_SAMPLE_DATA[Stage],$C17,TBL_SAMPLE_DATA[Risk Type],"Cash")</f>
        <v>0</v>
      </c>
      <c r="O17" s="5">
        <f ca="1">SUMIFS(TBL_SAMPLE_DATA[Amount],TBL_SAMPLE_DATA[Orig Date EOM],'Report with Formula'!O$4,TBL_SAMPLE_DATA[Stage],$C17,TBL_SAMPLE_DATA[Risk Type],"Cash")</f>
        <v>253742</v>
      </c>
      <c r="P17" s="5">
        <f ca="1">SUMIFS(TBL_SAMPLE_DATA[Amount],TBL_SAMPLE_DATA[Orig Date EOM],'Report with Formula'!P$4,TBL_SAMPLE_DATA[Stage],$C17,TBL_SAMPLE_DATA[Risk Type],"Cash")</f>
        <v>983324</v>
      </c>
      <c r="Q17" s="5">
        <f ca="1">SUMIFS(TBL_SAMPLE_DATA[Amount],TBL_SAMPLE_DATA[Orig Date EOM],'Report with Formula'!Q$4,TBL_SAMPLE_DATA[Stage],$C17,TBL_SAMPLE_DATA[Risk Type],"Cash")</f>
        <v>430321</v>
      </c>
    </row>
    <row r="18" spans="3:17" x14ac:dyDescent="0.25">
      <c r="D18" s="3" t="s">
        <v>11</v>
      </c>
      <c r="E18" s="6">
        <f ca="1">SUM(E19:E21)</f>
        <v>935974</v>
      </c>
      <c r="F18" s="6">
        <f t="shared" ref="F18" ca="1" si="3">SUM(F19:F21)</f>
        <v>1595642</v>
      </c>
      <c r="G18" s="6">
        <f t="shared" ref="G18" ca="1" si="4">SUM(G19:G21)</f>
        <v>3360895</v>
      </c>
      <c r="H18" s="6">
        <f t="shared" ref="H18" ca="1" si="5">SUM(H19:H21)</f>
        <v>2261303</v>
      </c>
      <c r="I18" s="6">
        <f t="shared" ref="I18" ca="1" si="6">SUM(I19:I21)</f>
        <v>1266562</v>
      </c>
      <c r="J18" s="6">
        <f t="shared" ref="J18" ca="1" si="7">SUM(J19:J21)</f>
        <v>1859779</v>
      </c>
      <c r="K18" s="6">
        <f t="shared" ref="K18" ca="1" si="8">SUM(K19:K21)</f>
        <v>1086804</v>
      </c>
      <c r="L18" s="6">
        <f t="shared" ref="L18" ca="1" si="9">SUM(L19:L21)</f>
        <v>1253610</v>
      </c>
      <c r="M18" s="6">
        <f t="shared" ref="M18" ca="1" si="10">SUM(M19:M21)</f>
        <v>947575</v>
      </c>
      <c r="N18" s="6">
        <f t="shared" ref="N18" ca="1" si="11">SUM(N19:N21)</f>
        <v>2082092</v>
      </c>
      <c r="O18" s="6">
        <f t="shared" ref="O18" ca="1" si="12">SUM(O19:O21)</f>
        <v>0</v>
      </c>
      <c r="P18" s="6">
        <f t="shared" ref="P18" ca="1" si="13">SUM(P19:P21)</f>
        <v>786724</v>
      </c>
      <c r="Q18" s="6">
        <f t="shared" ref="Q18" ca="1" si="14">SUM(Q19:Q21)</f>
        <v>0</v>
      </c>
    </row>
    <row r="19" spans="3:17" x14ac:dyDescent="0.25">
      <c r="C19">
        <v>1</v>
      </c>
      <c r="D19" s="2" t="s">
        <v>3</v>
      </c>
      <c r="E19" s="5">
        <f ca="1">SUMIFS(TBL_SAMPLE_DATA[Amount],TBL_SAMPLE_DATA[Orig Date EOM],'Report with Formula'!E$4,TBL_SAMPLE_DATA[Stage],$C15,TBL_SAMPLE_DATA[Risk Type],"Non Cash")</f>
        <v>0</v>
      </c>
      <c r="F19" s="5">
        <f ca="1">SUMIFS(TBL_SAMPLE_DATA[Amount],TBL_SAMPLE_DATA[Orig Date EOM],'Report with Formula'!F$4,TBL_SAMPLE_DATA[Stage],$C15,TBL_SAMPLE_DATA[Risk Type],"Non Cash")</f>
        <v>0</v>
      </c>
      <c r="G19" s="5">
        <f ca="1">SUMIFS(TBL_SAMPLE_DATA[Amount],TBL_SAMPLE_DATA[Orig Date EOM],'Report with Formula'!G$4,TBL_SAMPLE_DATA[Stage],$C15,TBL_SAMPLE_DATA[Risk Type],"Non Cash")</f>
        <v>2264579</v>
      </c>
      <c r="H19" s="5">
        <f ca="1">SUMIFS(TBL_SAMPLE_DATA[Amount],TBL_SAMPLE_DATA[Orig Date EOM],'Report with Formula'!H$4,TBL_SAMPLE_DATA[Stage],$C15,TBL_SAMPLE_DATA[Risk Type],"Non Cash")</f>
        <v>50391</v>
      </c>
      <c r="I19" s="5">
        <f ca="1">SUMIFS(TBL_SAMPLE_DATA[Amount],TBL_SAMPLE_DATA[Orig Date EOM],'Report with Formula'!I$4,TBL_SAMPLE_DATA[Stage],$C15,TBL_SAMPLE_DATA[Risk Type],"Non Cash")</f>
        <v>379275</v>
      </c>
      <c r="J19" s="5">
        <f ca="1">SUMIFS(TBL_SAMPLE_DATA[Amount],TBL_SAMPLE_DATA[Orig Date EOM],'Report with Formula'!J$4,TBL_SAMPLE_DATA[Stage],$C15,TBL_SAMPLE_DATA[Risk Type],"Non Cash")</f>
        <v>910063</v>
      </c>
      <c r="K19" s="5">
        <f ca="1">SUMIFS(TBL_SAMPLE_DATA[Amount],TBL_SAMPLE_DATA[Orig Date EOM],'Report with Formula'!K$4,TBL_SAMPLE_DATA[Stage],$C15,TBL_SAMPLE_DATA[Risk Type],"Non Cash")</f>
        <v>0</v>
      </c>
      <c r="L19" s="5">
        <f ca="1">SUMIFS(TBL_SAMPLE_DATA[Amount],TBL_SAMPLE_DATA[Orig Date EOM],'Report with Formula'!L$4,TBL_SAMPLE_DATA[Stage],$C15,TBL_SAMPLE_DATA[Risk Type],"Non Cash")</f>
        <v>0</v>
      </c>
      <c r="M19" s="5">
        <f ca="1">SUMIFS(TBL_SAMPLE_DATA[Amount],TBL_SAMPLE_DATA[Orig Date EOM],'Report with Formula'!M$4,TBL_SAMPLE_DATA[Stage],$C15,TBL_SAMPLE_DATA[Risk Type],"Non Cash")</f>
        <v>644076</v>
      </c>
      <c r="N19" s="5">
        <f ca="1">SUMIFS(TBL_SAMPLE_DATA[Amount],TBL_SAMPLE_DATA[Orig Date EOM],'Report with Formula'!N$4,TBL_SAMPLE_DATA[Stage],$C15,TBL_SAMPLE_DATA[Risk Type],"Non Cash")</f>
        <v>717807</v>
      </c>
      <c r="O19" s="5">
        <f ca="1">SUMIFS(TBL_SAMPLE_DATA[Amount],TBL_SAMPLE_DATA[Orig Date EOM],'Report with Formula'!O$4,TBL_SAMPLE_DATA[Stage],$C15,TBL_SAMPLE_DATA[Risk Type],"Non Cash")</f>
        <v>0</v>
      </c>
      <c r="P19" s="5">
        <f ca="1">SUMIFS(TBL_SAMPLE_DATA[Amount],TBL_SAMPLE_DATA[Orig Date EOM],'Report with Formula'!P$4,TBL_SAMPLE_DATA[Stage],$C15,TBL_SAMPLE_DATA[Risk Type],"Non Cash")</f>
        <v>0</v>
      </c>
      <c r="Q19" s="5">
        <f ca="1">SUMIFS(TBL_SAMPLE_DATA[Amount],TBL_SAMPLE_DATA[Orig Date EOM],'Report with Formula'!Q$4,TBL_SAMPLE_DATA[Stage],$C15,TBL_SAMPLE_DATA[Risk Type],"Non Cash")</f>
        <v>0</v>
      </c>
    </row>
    <row r="20" spans="3:17" x14ac:dyDescent="0.25">
      <c r="C20">
        <v>2</v>
      </c>
      <c r="D20" s="2" t="s">
        <v>4</v>
      </c>
      <c r="E20" s="5">
        <f ca="1">SUMIFS(TBL_SAMPLE_DATA[Amount],TBL_SAMPLE_DATA[Orig Date EOM],'Report with Formula'!E$4,TBL_SAMPLE_DATA[Stage],$C16,TBL_SAMPLE_DATA[Risk Type],"Non Cash")</f>
        <v>935974</v>
      </c>
      <c r="F20" s="5">
        <f ca="1">SUMIFS(TBL_SAMPLE_DATA[Amount],TBL_SAMPLE_DATA[Orig Date EOM],'Report with Formula'!F$4,TBL_SAMPLE_DATA[Stage],$C16,TBL_SAMPLE_DATA[Risk Type],"Non Cash")</f>
        <v>814000</v>
      </c>
      <c r="G20" s="5">
        <f ca="1">SUMIFS(TBL_SAMPLE_DATA[Amount],TBL_SAMPLE_DATA[Orig Date EOM],'Report with Formula'!G$4,TBL_SAMPLE_DATA[Stage],$C16,TBL_SAMPLE_DATA[Risk Type],"Non Cash")</f>
        <v>0</v>
      </c>
      <c r="H20" s="5">
        <f ca="1">SUMIFS(TBL_SAMPLE_DATA[Amount],TBL_SAMPLE_DATA[Orig Date EOM],'Report with Formula'!H$4,TBL_SAMPLE_DATA[Stage],$C16,TBL_SAMPLE_DATA[Risk Type],"Non Cash")</f>
        <v>1086923</v>
      </c>
      <c r="I20" s="5">
        <f ca="1">SUMIFS(TBL_SAMPLE_DATA[Amount],TBL_SAMPLE_DATA[Orig Date EOM],'Report with Formula'!I$4,TBL_SAMPLE_DATA[Stage],$C16,TBL_SAMPLE_DATA[Risk Type],"Non Cash")</f>
        <v>116380</v>
      </c>
      <c r="J20" s="5">
        <f ca="1">SUMIFS(TBL_SAMPLE_DATA[Amount],TBL_SAMPLE_DATA[Orig Date EOM],'Report with Formula'!J$4,TBL_SAMPLE_DATA[Stage],$C16,TBL_SAMPLE_DATA[Risk Type],"Non Cash")</f>
        <v>402069</v>
      </c>
      <c r="K20" s="5">
        <f ca="1">SUMIFS(TBL_SAMPLE_DATA[Amount],TBL_SAMPLE_DATA[Orig Date EOM],'Report with Formula'!K$4,TBL_SAMPLE_DATA[Stage],$C16,TBL_SAMPLE_DATA[Risk Type],"Non Cash")</f>
        <v>1086804</v>
      </c>
      <c r="L20" s="5">
        <f ca="1">SUMIFS(TBL_SAMPLE_DATA[Amount],TBL_SAMPLE_DATA[Orig Date EOM],'Report with Formula'!L$4,TBL_SAMPLE_DATA[Stage],$C16,TBL_SAMPLE_DATA[Risk Type],"Non Cash")</f>
        <v>716989</v>
      </c>
      <c r="M20" s="5">
        <f ca="1">SUMIFS(TBL_SAMPLE_DATA[Amount],TBL_SAMPLE_DATA[Orig Date EOM],'Report with Formula'!M$4,TBL_SAMPLE_DATA[Stage],$C16,TBL_SAMPLE_DATA[Risk Type],"Non Cash")</f>
        <v>303499</v>
      </c>
      <c r="N20" s="5">
        <f ca="1">SUMIFS(TBL_SAMPLE_DATA[Amount],TBL_SAMPLE_DATA[Orig Date EOM],'Report with Formula'!N$4,TBL_SAMPLE_DATA[Stage],$C16,TBL_SAMPLE_DATA[Risk Type],"Non Cash")</f>
        <v>1364285</v>
      </c>
      <c r="O20" s="5">
        <f ca="1">SUMIFS(TBL_SAMPLE_DATA[Amount],TBL_SAMPLE_DATA[Orig Date EOM],'Report with Formula'!O$4,TBL_SAMPLE_DATA[Stage],$C16,TBL_SAMPLE_DATA[Risk Type],"Non Cash")</f>
        <v>0</v>
      </c>
      <c r="P20" s="5">
        <f ca="1">SUMIFS(TBL_SAMPLE_DATA[Amount],TBL_SAMPLE_DATA[Orig Date EOM],'Report with Formula'!P$4,TBL_SAMPLE_DATA[Stage],$C16,TBL_SAMPLE_DATA[Risk Type],"Non Cash")</f>
        <v>515673</v>
      </c>
      <c r="Q20" s="5">
        <f ca="1">SUMIFS(TBL_SAMPLE_DATA[Amount],TBL_SAMPLE_DATA[Orig Date EOM],'Report with Formula'!Q$4,TBL_SAMPLE_DATA[Stage],$C16,TBL_SAMPLE_DATA[Risk Type],"Non Cash")</f>
        <v>0</v>
      </c>
    </row>
    <row r="21" spans="3:17" x14ac:dyDescent="0.25">
      <c r="C21">
        <v>3</v>
      </c>
      <c r="D21" s="2" t="s">
        <v>5</v>
      </c>
      <c r="E21" s="5">
        <f ca="1">SUMIFS(TBL_SAMPLE_DATA[Amount],TBL_SAMPLE_DATA[Orig Date EOM],'Report with Formula'!E$4,TBL_SAMPLE_DATA[Stage],$C17,TBL_SAMPLE_DATA[Risk Type],"Non Cash")</f>
        <v>0</v>
      </c>
      <c r="F21" s="5">
        <f ca="1">SUMIFS(TBL_SAMPLE_DATA[Amount],TBL_SAMPLE_DATA[Orig Date EOM],'Report with Formula'!F$4,TBL_SAMPLE_DATA[Stage],$C17,TBL_SAMPLE_DATA[Risk Type],"Non Cash")</f>
        <v>781642</v>
      </c>
      <c r="G21" s="5">
        <f ca="1">SUMIFS(TBL_SAMPLE_DATA[Amount],TBL_SAMPLE_DATA[Orig Date EOM],'Report with Formula'!G$4,TBL_SAMPLE_DATA[Stage],$C17,TBL_SAMPLE_DATA[Risk Type],"Non Cash")</f>
        <v>1096316</v>
      </c>
      <c r="H21" s="5">
        <f ca="1">SUMIFS(TBL_SAMPLE_DATA[Amount],TBL_SAMPLE_DATA[Orig Date EOM],'Report with Formula'!H$4,TBL_SAMPLE_DATA[Stage],$C17,TBL_SAMPLE_DATA[Risk Type],"Non Cash")</f>
        <v>1123989</v>
      </c>
      <c r="I21" s="5">
        <f ca="1">SUMIFS(TBL_SAMPLE_DATA[Amount],TBL_SAMPLE_DATA[Orig Date EOM],'Report with Formula'!I$4,TBL_SAMPLE_DATA[Stage],$C17,TBL_SAMPLE_DATA[Risk Type],"Non Cash")</f>
        <v>770907</v>
      </c>
      <c r="J21" s="5">
        <f ca="1">SUMIFS(TBL_SAMPLE_DATA[Amount],TBL_SAMPLE_DATA[Orig Date EOM],'Report with Formula'!J$4,TBL_SAMPLE_DATA[Stage],$C17,TBL_SAMPLE_DATA[Risk Type],"Non Cash")</f>
        <v>547647</v>
      </c>
      <c r="K21" s="5">
        <f ca="1">SUMIFS(TBL_SAMPLE_DATA[Amount],TBL_SAMPLE_DATA[Orig Date EOM],'Report with Formula'!K$4,TBL_SAMPLE_DATA[Stage],$C17,TBL_SAMPLE_DATA[Risk Type],"Non Cash")</f>
        <v>0</v>
      </c>
      <c r="L21" s="5">
        <f ca="1">SUMIFS(TBL_SAMPLE_DATA[Amount],TBL_SAMPLE_DATA[Orig Date EOM],'Report with Formula'!L$4,TBL_SAMPLE_DATA[Stage],$C17,TBL_SAMPLE_DATA[Risk Type],"Non Cash")</f>
        <v>536621</v>
      </c>
      <c r="M21" s="5">
        <f ca="1">SUMIFS(TBL_SAMPLE_DATA[Amount],TBL_SAMPLE_DATA[Orig Date EOM],'Report with Formula'!M$4,TBL_SAMPLE_DATA[Stage],$C17,TBL_SAMPLE_DATA[Risk Type],"Non Cash")</f>
        <v>0</v>
      </c>
      <c r="N21" s="5">
        <f ca="1">SUMIFS(TBL_SAMPLE_DATA[Amount],TBL_SAMPLE_DATA[Orig Date EOM],'Report with Formula'!N$4,TBL_SAMPLE_DATA[Stage],$C17,TBL_SAMPLE_DATA[Risk Type],"Non Cash")</f>
        <v>0</v>
      </c>
      <c r="O21" s="5">
        <f ca="1">SUMIFS(TBL_SAMPLE_DATA[Amount],TBL_SAMPLE_DATA[Orig Date EOM],'Report with Formula'!O$4,TBL_SAMPLE_DATA[Stage],$C17,TBL_SAMPLE_DATA[Risk Type],"Non Cash")</f>
        <v>0</v>
      </c>
      <c r="P21" s="5">
        <f ca="1">SUMIFS(TBL_SAMPLE_DATA[Amount],TBL_SAMPLE_DATA[Orig Date EOM],'Report with Formula'!P$4,TBL_SAMPLE_DATA[Stage],$C17,TBL_SAMPLE_DATA[Risk Type],"Non Cash")</f>
        <v>271051</v>
      </c>
      <c r="Q21" s="5">
        <f ca="1">SUMIFS(TBL_SAMPLE_DATA[Amount],TBL_SAMPLE_DATA[Orig Date EOM],'Report with Formula'!Q$4,TBL_SAMPLE_DATA[Stage],$C17,TBL_SAMPLE_DATA[Risk Type],"Non Cash")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661B-821A-4BCA-9416-74A6A63E1201}">
  <sheetPr codeName="Sheet2"/>
  <dimension ref="A1:M67"/>
  <sheetViews>
    <sheetView workbookViewId="0">
      <selection activeCell="A3" sqref="A3"/>
    </sheetView>
  </sheetViews>
  <sheetFormatPr defaultRowHeight="15" x14ac:dyDescent="0.25"/>
  <cols>
    <col min="1" max="1" width="11.42578125" customWidth="1"/>
    <col min="2" max="2" width="16.140625" customWidth="1"/>
    <col min="3" max="3" width="8" customWidth="1"/>
    <col min="4" max="4" width="13.28515625" customWidth="1"/>
    <col min="5" max="5" width="11.5703125" bestFit="1" customWidth="1"/>
    <col min="6" max="6" width="11.42578125" customWidth="1"/>
    <col min="7" max="7" width="10.28515625" customWidth="1"/>
  </cols>
  <sheetData>
    <row r="1" spans="1:13" x14ac:dyDescent="0.25">
      <c r="A1" s="4" t="s">
        <v>12</v>
      </c>
      <c r="B1" s="4" t="s">
        <v>13</v>
      </c>
      <c r="C1" s="4" t="s">
        <v>14</v>
      </c>
      <c r="D1" s="4" t="s">
        <v>15</v>
      </c>
      <c r="E1" s="4" t="s">
        <v>1</v>
      </c>
      <c r="F1" s="4" t="s">
        <v>16</v>
      </c>
      <c r="G1" s="4" t="s">
        <v>17</v>
      </c>
      <c r="L1" s="4" t="s">
        <v>15</v>
      </c>
      <c r="M1" s="4" t="s">
        <v>1</v>
      </c>
    </row>
    <row r="2" spans="1:13" x14ac:dyDescent="0.25">
      <c r="A2" s="1">
        <f t="shared" ref="A2:A33" ca="1" si="0">RANDBETWEEN(44530,44926)</f>
        <v>44698</v>
      </c>
      <c r="B2" s="1">
        <f ca="1">EOMONTH(A2,0)</f>
        <v>44712</v>
      </c>
      <c r="C2">
        <f ca="1">RANDBETWEEN(1,3)</f>
        <v>3</v>
      </c>
      <c r="D2">
        <f ca="1">RANDBETWEEN(1,4)</f>
        <v>4</v>
      </c>
      <c r="E2" t="str">
        <f ca="1">VLOOKUP(D2,$L$1:$M$5,2,0)</f>
        <v>Corporate</v>
      </c>
      <c r="F2" t="str">
        <f ca="1">IF(RANDBETWEEN(1,2)=1,"Cash","Non Cash")</f>
        <v>Non Cash</v>
      </c>
      <c r="G2" s="5">
        <f ca="1">RANDBETWEEN(10000,999999)</f>
        <v>547647</v>
      </c>
      <c r="L2">
        <v>1</v>
      </c>
      <c r="M2" t="s">
        <v>6</v>
      </c>
    </row>
    <row r="3" spans="1:13" x14ac:dyDescent="0.25">
      <c r="A3" s="1">
        <f t="shared" ca="1" si="0"/>
        <v>44593</v>
      </c>
      <c r="B3" s="1">
        <f t="shared" ref="B3:B66" ca="1" si="1">EOMONTH(A3,0)</f>
        <v>44620</v>
      </c>
      <c r="C3">
        <f t="shared" ref="C3:C66" ca="1" si="2">RANDBETWEEN(1,3)</f>
        <v>1</v>
      </c>
      <c r="D3">
        <f t="shared" ref="D3:D66" ca="1" si="3">RANDBETWEEN(1,4)</f>
        <v>2</v>
      </c>
      <c r="E3" t="str">
        <f t="shared" ref="E3:E66" ca="1" si="4">VLOOKUP(D3,$L$1:$M$5,2,0)</f>
        <v>SME</v>
      </c>
      <c r="F3" t="str">
        <f ca="1">IF(RANDBETWEEN(1,2)=1,"Cash","Non Cash")</f>
        <v>Cash</v>
      </c>
      <c r="G3" s="5">
        <f t="shared" ref="G3:G66" ca="1" si="5">RANDBETWEEN(10000,999999)</f>
        <v>566702</v>
      </c>
      <c r="L3">
        <v>2</v>
      </c>
      <c r="M3" t="s">
        <v>7</v>
      </c>
    </row>
    <row r="4" spans="1:13" x14ac:dyDescent="0.25">
      <c r="A4" s="1">
        <f t="shared" ca="1" si="0"/>
        <v>44656</v>
      </c>
      <c r="B4" s="1">
        <f t="shared" ca="1" si="1"/>
        <v>44681</v>
      </c>
      <c r="C4">
        <f t="shared" ca="1" si="2"/>
        <v>2</v>
      </c>
      <c r="D4">
        <f t="shared" ca="1" si="3"/>
        <v>3</v>
      </c>
      <c r="E4" t="str">
        <f t="shared" ca="1" si="4"/>
        <v>Commercial</v>
      </c>
      <c r="F4" t="str">
        <f t="shared" ref="F4:F67" ca="1" si="6">IF(RANDBETWEEN(1,2)=1,"Cash","Non Cash")</f>
        <v>Cash</v>
      </c>
      <c r="G4" s="5">
        <f t="shared" ca="1" si="5"/>
        <v>720705</v>
      </c>
      <c r="L4">
        <v>3</v>
      </c>
      <c r="M4" t="s">
        <v>8</v>
      </c>
    </row>
    <row r="5" spans="1:13" x14ac:dyDescent="0.25">
      <c r="A5" s="1">
        <f t="shared" ca="1" si="0"/>
        <v>44858</v>
      </c>
      <c r="B5" s="1">
        <f t="shared" ca="1" si="1"/>
        <v>44865</v>
      </c>
      <c r="C5">
        <f t="shared" ca="1" si="2"/>
        <v>1</v>
      </c>
      <c r="D5">
        <f t="shared" ca="1" si="3"/>
        <v>3</v>
      </c>
      <c r="E5" t="str">
        <f t="shared" ca="1" si="4"/>
        <v>Commercial</v>
      </c>
      <c r="F5" t="str">
        <f t="shared" ca="1" si="6"/>
        <v>Cash</v>
      </c>
      <c r="G5" s="5">
        <f t="shared" ca="1" si="5"/>
        <v>667005</v>
      </c>
      <c r="L5">
        <v>4</v>
      </c>
      <c r="M5" t="s">
        <v>9</v>
      </c>
    </row>
    <row r="6" spans="1:13" x14ac:dyDescent="0.25">
      <c r="A6" s="1">
        <f t="shared" ca="1" si="0"/>
        <v>44847</v>
      </c>
      <c r="B6" s="1">
        <f t="shared" ca="1" si="1"/>
        <v>44865</v>
      </c>
      <c r="C6">
        <f t="shared" ca="1" si="2"/>
        <v>2</v>
      </c>
      <c r="D6">
        <f t="shared" ca="1" si="3"/>
        <v>4</v>
      </c>
      <c r="E6" t="str">
        <f t="shared" ca="1" si="4"/>
        <v>Corporate</v>
      </c>
      <c r="F6" t="str">
        <f t="shared" ca="1" si="6"/>
        <v>Cash</v>
      </c>
      <c r="G6" s="5">
        <f t="shared" ca="1" si="5"/>
        <v>980997</v>
      </c>
    </row>
    <row r="7" spans="1:13" x14ac:dyDescent="0.25">
      <c r="A7" s="1">
        <f t="shared" ca="1" si="0"/>
        <v>44705</v>
      </c>
      <c r="B7" s="1">
        <f t="shared" ca="1" si="1"/>
        <v>44712</v>
      </c>
      <c r="C7">
        <f t="shared" ca="1" si="2"/>
        <v>2</v>
      </c>
      <c r="D7">
        <f t="shared" ca="1" si="3"/>
        <v>4</v>
      </c>
      <c r="E7" t="str">
        <f t="shared" ca="1" si="4"/>
        <v>Corporate</v>
      </c>
      <c r="F7" t="str">
        <f t="shared" ca="1" si="6"/>
        <v>Non Cash</v>
      </c>
      <c r="G7" s="5">
        <f t="shared" ca="1" si="5"/>
        <v>402069</v>
      </c>
    </row>
    <row r="8" spans="1:13" x14ac:dyDescent="0.25">
      <c r="A8" s="1">
        <f t="shared" ca="1" si="0"/>
        <v>44733</v>
      </c>
      <c r="B8" s="1">
        <f t="shared" ca="1" si="1"/>
        <v>44742</v>
      </c>
      <c r="C8">
        <f t="shared" ca="1" si="2"/>
        <v>2</v>
      </c>
      <c r="D8">
        <f t="shared" ca="1" si="3"/>
        <v>3</v>
      </c>
      <c r="E8" t="str">
        <f t="shared" ca="1" si="4"/>
        <v>Commercial</v>
      </c>
      <c r="F8" t="str">
        <f t="shared" ca="1" si="6"/>
        <v>Non Cash</v>
      </c>
      <c r="G8" s="5">
        <f t="shared" ca="1" si="5"/>
        <v>387092</v>
      </c>
    </row>
    <row r="9" spans="1:13" x14ac:dyDescent="0.25">
      <c r="A9" s="1">
        <f t="shared" ca="1" si="0"/>
        <v>44761</v>
      </c>
      <c r="B9" s="1">
        <f t="shared" ca="1" si="1"/>
        <v>44773</v>
      </c>
      <c r="C9">
        <f t="shared" ca="1" si="2"/>
        <v>2</v>
      </c>
      <c r="D9">
        <f t="shared" ca="1" si="3"/>
        <v>4</v>
      </c>
      <c r="E9" t="str">
        <f t="shared" ca="1" si="4"/>
        <v>Corporate</v>
      </c>
      <c r="F9" t="str">
        <f t="shared" ca="1" si="6"/>
        <v>Non Cash</v>
      </c>
      <c r="G9" s="5">
        <f t="shared" ca="1" si="5"/>
        <v>192839</v>
      </c>
    </row>
    <row r="10" spans="1:13" x14ac:dyDescent="0.25">
      <c r="A10" s="1">
        <f t="shared" ca="1" si="0"/>
        <v>44905</v>
      </c>
      <c r="B10" s="1">
        <f t="shared" ca="1" si="1"/>
        <v>44926</v>
      </c>
      <c r="C10">
        <f t="shared" ca="1" si="2"/>
        <v>3</v>
      </c>
      <c r="D10">
        <f t="shared" ca="1" si="3"/>
        <v>2</v>
      </c>
      <c r="E10" t="str">
        <f t="shared" ca="1" si="4"/>
        <v>SME</v>
      </c>
      <c r="F10" t="str">
        <f t="shared" ca="1" si="6"/>
        <v>Cash</v>
      </c>
      <c r="G10" s="5">
        <f t="shared" ca="1" si="5"/>
        <v>430321</v>
      </c>
    </row>
    <row r="11" spans="1:13" x14ac:dyDescent="0.25">
      <c r="A11" s="1">
        <f t="shared" ca="1" si="0"/>
        <v>44866</v>
      </c>
      <c r="B11" s="1">
        <f t="shared" ca="1" si="1"/>
        <v>44895</v>
      </c>
      <c r="C11">
        <f t="shared" ca="1" si="2"/>
        <v>1</v>
      </c>
      <c r="D11">
        <f t="shared" ca="1" si="3"/>
        <v>4</v>
      </c>
      <c r="E11" t="str">
        <f t="shared" ca="1" si="4"/>
        <v>Corporate</v>
      </c>
      <c r="F11" t="str">
        <f t="shared" ca="1" si="6"/>
        <v>Cash</v>
      </c>
      <c r="G11" s="5">
        <f t="shared" ca="1" si="5"/>
        <v>440922</v>
      </c>
    </row>
    <row r="12" spans="1:13" x14ac:dyDescent="0.25">
      <c r="A12" s="1">
        <f t="shared" ca="1" si="0"/>
        <v>44666</v>
      </c>
      <c r="B12" s="1">
        <f t="shared" ca="1" si="1"/>
        <v>44681</v>
      </c>
      <c r="C12">
        <f t="shared" ca="1" si="2"/>
        <v>1</v>
      </c>
      <c r="D12">
        <f t="shared" ca="1" si="3"/>
        <v>1</v>
      </c>
      <c r="E12" t="str">
        <f t="shared" ca="1" si="4"/>
        <v>Retail</v>
      </c>
      <c r="F12" t="str">
        <f t="shared" ca="1" si="6"/>
        <v>Non Cash</v>
      </c>
      <c r="G12" s="5">
        <f t="shared" ca="1" si="5"/>
        <v>256117</v>
      </c>
    </row>
    <row r="13" spans="1:13" x14ac:dyDescent="0.25">
      <c r="A13" s="1">
        <f t="shared" ca="1" si="0"/>
        <v>44901</v>
      </c>
      <c r="B13" s="1">
        <f t="shared" ca="1" si="1"/>
        <v>44926</v>
      </c>
      <c r="C13">
        <f t="shared" ca="1" si="2"/>
        <v>2</v>
      </c>
      <c r="D13">
        <f t="shared" ca="1" si="3"/>
        <v>3</v>
      </c>
      <c r="E13" t="str">
        <f t="shared" ca="1" si="4"/>
        <v>Commercial</v>
      </c>
      <c r="F13" t="str">
        <f t="shared" ca="1" si="6"/>
        <v>Cash</v>
      </c>
      <c r="G13" s="5">
        <f t="shared" ca="1" si="5"/>
        <v>395316</v>
      </c>
    </row>
    <row r="14" spans="1:13" x14ac:dyDescent="0.25">
      <c r="A14" s="1">
        <f t="shared" ca="1" si="0"/>
        <v>44599</v>
      </c>
      <c r="B14" s="1">
        <f t="shared" ca="1" si="1"/>
        <v>44620</v>
      </c>
      <c r="C14">
        <f t="shared" ca="1" si="2"/>
        <v>1</v>
      </c>
      <c r="D14">
        <f t="shared" ca="1" si="3"/>
        <v>2</v>
      </c>
      <c r="E14" t="str">
        <f t="shared" ca="1" si="4"/>
        <v>SME</v>
      </c>
      <c r="F14" t="str">
        <f t="shared" ca="1" si="6"/>
        <v>Non Cash</v>
      </c>
      <c r="G14" s="5">
        <f t="shared" ca="1" si="5"/>
        <v>794077</v>
      </c>
    </row>
    <row r="15" spans="1:13" x14ac:dyDescent="0.25">
      <c r="A15" s="1">
        <f t="shared" ca="1" si="0"/>
        <v>44640</v>
      </c>
      <c r="B15" s="1">
        <f t="shared" ca="1" si="1"/>
        <v>44651</v>
      </c>
      <c r="C15">
        <f t="shared" ca="1" si="2"/>
        <v>2</v>
      </c>
      <c r="D15">
        <f t="shared" ca="1" si="3"/>
        <v>2</v>
      </c>
      <c r="E15" t="str">
        <f t="shared" ca="1" si="4"/>
        <v>SME</v>
      </c>
      <c r="F15" t="str">
        <f t="shared" ca="1" si="6"/>
        <v>Non Cash</v>
      </c>
      <c r="G15" s="5">
        <f t="shared" ca="1" si="5"/>
        <v>374278</v>
      </c>
    </row>
    <row r="16" spans="1:13" x14ac:dyDescent="0.25">
      <c r="A16" s="1">
        <f t="shared" ca="1" si="0"/>
        <v>44627</v>
      </c>
      <c r="B16" s="1">
        <f t="shared" ca="1" si="1"/>
        <v>44651</v>
      </c>
      <c r="C16">
        <f t="shared" ca="1" si="2"/>
        <v>1</v>
      </c>
      <c r="D16">
        <f t="shared" ca="1" si="3"/>
        <v>1</v>
      </c>
      <c r="E16" t="str">
        <f t="shared" ca="1" si="4"/>
        <v>Retail</v>
      </c>
      <c r="F16" t="str">
        <f t="shared" ca="1" si="6"/>
        <v>Cash</v>
      </c>
      <c r="G16" s="5">
        <f t="shared" ca="1" si="5"/>
        <v>526360</v>
      </c>
    </row>
    <row r="17" spans="1:7" x14ac:dyDescent="0.25">
      <c r="A17" s="1">
        <f t="shared" ca="1" si="0"/>
        <v>44668</v>
      </c>
      <c r="B17" s="1">
        <f t="shared" ca="1" si="1"/>
        <v>44681</v>
      </c>
      <c r="C17">
        <f t="shared" ca="1" si="2"/>
        <v>2</v>
      </c>
      <c r="D17">
        <f t="shared" ca="1" si="3"/>
        <v>4</v>
      </c>
      <c r="E17" t="str">
        <f t="shared" ca="1" si="4"/>
        <v>Corporate</v>
      </c>
      <c r="F17" t="str">
        <f t="shared" ca="1" si="6"/>
        <v>Non Cash</v>
      </c>
      <c r="G17" s="5">
        <f t="shared" ca="1" si="5"/>
        <v>116380</v>
      </c>
    </row>
    <row r="18" spans="1:7" x14ac:dyDescent="0.25">
      <c r="A18" s="1">
        <f t="shared" ca="1" si="0"/>
        <v>44811</v>
      </c>
      <c r="B18" s="1">
        <f t="shared" ca="1" si="1"/>
        <v>44834</v>
      </c>
      <c r="C18">
        <f t="shared" ca="1" si="2"/>
        <v>2</v>
      </c>
      <c r="D18">
        <f t="shared" ca="1" si="3"/>
        <v>1</v>
      </c>
      <c r="E18" t="str">
        <f t="shared" ca="1" si="4"/>
        <v>Retail</v>
      </c>
      <c r="F18" t="str">
        <f t="shared" ca="1" si="6"/>
        <v>Non Cash</v>
      </c>
      <c r="G18" s="5">
        <f t="shared" ca="1" si="5"/>
        <v>441989</v>
      </c>
    </row>
    <row r="19" spans="1:7" x14ac:dyDescent="0.25">
      <c r="A19" s="1">
        <f t="shared" ca="1" si="0"/>
        <v>44638</v>
      </c>
      <c r="B19" s="1">
        <f t="shared" ca="1" si="1"/>
        <v>44651</v>
      </c>
      <c r="C19">
        <f t="shared" ca="1" si="2"/>
        <v>1</v>
      </c>
      <c r="D19">
        <f t="shared" ca="1" si="3"/>
        <v>2</v>
      </c>
      <c r="E19" t="str">
        <f t="shared" ca="1" si="4"/>
        <v>SME</v>
      </c>
      <c r="F19" t="str">
        <f t="shared" ca="1" si="6"/>
        <v>Non Cash</v>
      </c>
      <c r="G19" s="5">
        <f t="shared" ca="1" si="5"/>
        <v>50391</v>
      </c>
    </row>
    <row r="20" spans="1:7" x14ac:dyDescent="0.25">
      <c r="A20" s="1">
        <f t="shared" ca="1" si="0"/>
        <v>44771</v>
      </c>
      <c r="B20" s="1">
        <f t="shared" ca="1" si="1"/>
        <v>44773</v>
      </c>
      <c r="C20">
        <f t="shared" ca="1" si="2"/>
        <v>3</v>
      </c>
      <c r="D20">
        <f t="shared" ca="1" si="3"/>
        <v>3</v>
      </c>
      <c r="E20" t="str">
        <f t="shared" ca="1" si="4"/>
        <v>Commercial</v>
      </c>
      <c r="F20" t="str">
        <f t="shared" ca="1" si="6"/>
        <v>Non Cash</v>
      </c>
      <c r="G20" s="5">
        <f t="shared" ca="1" si="5"/>
        <v>373632</v>
      </c>
    </row>
    <row r="21" spans="1:7" x14ac:dyDescent="0.25">
      <c r="A21" s="1">
        <f t="shared" ca="1" si="0"/>
        <v>44619</v>
      </c>
      <c r="B21" s="1">
        <f t="shared" ca="1" si="1"/>
        <v>44620</v>
      </c>
      <c r="C21">
        <f t="shared" ca="1" si="2"/>
        <v>3</v>
      </c>
      <c r="D21">
        <f t="shared" ca="1" si="3"/>
        <v>3</v>
      </c>
      <c r="E21" t="str">
        <f t="shared" ca="1" si="4"/>
        <v>Commercial</v>
      </c>
      <c r="F21" t="str">
        <f t="shared" ca="1" si="6"/>
        <v>Non Cash</v>
      </c>
      <c r="G21" s="5">
        <f t="shared" ca="1" si="5"/>
        <v>680955</v>
      </c>
    </row>
    <row r="22" spans="1:7" x14ac:dyDescent="0.25">
      <c r="A22" s="1">
        <f t="shared" ca="1" si="0"/>
        <v>44641</v>
      </c>
      <c r="B22" s="1">
        <f t="shared" ca="1" si="1"/>
        <v>44651</v>
      </c>
      <c r="C22">
        <f t="shared" ca="1" si="2"/>
        <v>3</v>
      </c>
      <c r="D22">
        <f t="shared" ca="1" si="3"/>
        <v>3</v>
      </c>
      <c r="E22" t="str">
        <f t="shared" ca="1" si="4"/>
        <v>Commercial</v>
      </c>
      <c r="F22" t="str">
        <f t="shared" ca="1" si="6"/>
        <v>Cash</v>
      </c>
      <c r="G22" s="5">
        <f t="shared" ca="1" si="5"/>
        <v>997656</v>
      </c>
    </row>
    <row r="23" spans="1:7" x14ac:dyDescent="0.25">
      <c r="A23" s="1">
        <f t="shared" ca="1" si="0"/>
        <v>44650</v>
      </c>
      <c r="B23" s="1">
        <f t="shared" ca="1" si="1"/>
        <v>44651</v>
      </c>
      <c r="C23">
        <f t="shared" ca="1" si="2"/>
        <v>2</v>
      </c>
      <c r="D23">
        <f t="shared" ca="1" si="3"/>
        <v>2</v>
      </c>
      <c r="E23" t="str">
        <f t="shared" ca="1" si="4"/>
        <v>SME</v>
      </c>
      <c r="F23" t="str">
        <f t="shared" ca="1" si="6"/>
        <v>Cash</v>
      </c>
      <c r="G23" s="5">
        <f t="shared" ca="1" si="5"/>
        <v>824482</v>
      </c>
    </row>
    <row r="24" spans="1:7" x14ac:dyDescent="0.25">
      <c r="A24" s="1">
        <f t="shared" ca="1" si="0"/>
        <v>44858</v>
      </c>
      <c r="B24" s="1">
        <f t="shared" ca="1" si="1"/>
        <v>44865</v>
      </c>
      <c r="C24">
        <f t="shared" ca="1" si="2"/>
        <v>3</v>
      </c>
      <c r="D24">
        <f t="shared" ca="1" si="3"/>
        <v>2</v>
      </c>
      <c r="E24" t="str">
        <f t="shared" ca="1" si="4"/>
        <v>SME</v>
      </c>
      <c r="F24" t="str">
        <f t="shared" ca="1" si="6"/>
        <v>Cash</v>
      </c>
      <c r="G24" s="5">
        <f t="shared" ca="1" si="5"/>
        <v>253742</v>
      </c>
    </row>
    <row r="25" spans="1:7" x14ac:dyDescent="0.25">
      <c r="A25" s="1">
        <f t="shared" ca="1" si="0"/>
        <v>44605</v>
      </c>
      <c r="B25" s="1">
        <f t="shared" ca="1" si="1"/>
        <v>44620</v>
      </c>
      <c r="C25">
        <f t="shared" ca="1" si="2"/>
        <v>3</v>
      </c>
      <c r="D25">
        <f t="shared" ca="1" si="3"/>
        <v>3</v>
      </c>
      <c r="E25" t="str">
        <f t="shared" ca="1" si="4"/>
        <v>Commercial</v>
      </c>
      <c r="F25" t="str">
        <f t="shared" ca="1" si="6"/>
        <v>Non Cash</v>
      </c>
      <c r="G25" s="5">
        <f t="shared" ca="1" si="5"/>
        <v>116416</v>
      </c>
    </row>
    <row r="26" spans="1:7" x14ac:dyDescent="0.25">
      <c r="A26" s="1">
        <f t="shared" ca="1" si="0"/>
        <v>44654</v>
      </c>
      <c r="B26" s="1">
        <f t="shared" ca="1" si="1"/>
        <v>44681</v>
      </c>
      <c r="C26">
        <f t="shared" ca="1" si="2"/>
        <v>1</v>
      </c>
      <c r="D26">
        <f t="shared" ca="1" si="3"/>
        <v>4</v>
      </c>
      <c r="E26" t="str">
        <f t="shared" ca="1" si="4"/>
        <v>Corporate</v>
      </c>
      <c r="F26" t="str">
        <f t="shared" ca="1" si="6"/>
        <v>Cash</v>
      </c>
      <c r="G26" s="5">
        <f t="shared" ca="1" si="5"/>
        <v>583467</v>
      </c>
    </row>
    <row r="27" spans="1:7" x14ac:dyDescent="0.25">
      <c r="A27" s="1">
        <f t="shared" ca="1" si="0"/>
        <v>44802</v>
      </c>
      <c r="B27" s="1">
        <f t="shared" ca="1" si="1"/>
        <v>44804</v>
      </c>
      <c r="C27">
        <f t="shared" ca="1" si="2"/>
        <v>3</v>
      </c>
      <c r="D27">
        <f t="shared" ca="1" si="3"/>
        <v>4</v>
      </c>
      <c r="E27" t="str">
        <f t="shared" ca="1" si="4"/>
        <v>Corporate</v>
      </c>
      <c r="F27" t="str">
        <f t="shared" ca="1" si="6"/>
        <v>Cash</v>
      </c>
      <c r="G27" s="5">
        <f t="shared" ca="1" si="5"/>
        <v>690119</v>
      </c>
    </row>
    <row r="28" spans="1:7" x14ac:dyDescent="0.25">
      <c r="A28" s="1">
        <f t="shared" ca="1" si="0"/>
        <v>44555</v>
      </c>
      <c r="B28" s="1">
        <f t="shared" ca="1" si="1"/>
        <v>44561</v>
      </c>
      <c r="C28">
        <f t="shared" ca="1" si="2"/>
        <v>2</v>
      </c>
      <c r="D28">
        <f t="shared" ca="1" si="3"/>
        <v>4</v>
      </c>
      <c r="E28" t="str">
        <f t="shared" ca="1" si="4"/>
        <v>Corporate</v>
      </c>
      <c r="F28" t="str">
        <f t="shared" ca="1" si="6"/>
        <v>Cash</v>
      </c>
      <c r="G28" s="5">
        <f t="shared" ca="1" si="5"/>
        <v>230962</v>
      </c>
    </row>
    <row r="29" spans="1:7" x14ac:dyDescent="0.25">
      <c r="A29" s="1">
        <f t="shared" ca="1" si="0"/>
        <v>44635</v>
      </c>
      <c r="B29" s="1">
        <f t="shared" ca="1" si="1"/>
        <v>44651</v>
      </c>
      <c r="C29">
        <f t="shared" ca="1" si="2"/>
        <v>2</v>
      </c>
      <c r="D29">
        <f t="shared" ca="1" si="3"/>
        <v>2</v>
      </c>
      <c r="E29" t="str">
        <f t="shared" ca="1" si="4"/>
        <v>SME</v>
      </c>
      <c r="F29" t="str">
        <f t="shared" ca="1" si="6"/>
        <v>Cash</v>
      </c>
      <c r="G29" s="5">
        <f t="shared" ca="1" si="5"/>
        <v>213005</v>
      </c>
    </row>
    <row r="30" spans="1:7" x14ac:dyDescent="0.25">
      <c r="A30" s="1">
        <f t="shared" ca="1" si="0"/>
        <v>44783</v>
      </c>
      <c r="B30" s="1">
        <f t="shared" ca="1" si="1"/>
        <v>44804</v>
      </c>
      <c r="C30">
        <f t="shared" ca="1" si="2"/>
        <v>1</v>
      </c>
      <c r="D30">
        <f t="shared" ca="1" si="3"/>
        <v>2</v>
      </c>
      <c r="E30" t="str">
        <f t="shared" ca="1" si="4"/>
        <v>SME</v>
      </c>
      <c r="F30" t="str">
        <f t="shared" ca="1" si="6"/>
        <v>Cash</v>
      </c>
      <c r="G30" s="5">
        <f t="shared" ca="1" si="5"/>
        <v>369242</v>
      </c>
    </row>
    <row r="31" spans="1:7" x14ac:dyDescent="0.25">
      <c r="A31" s="1">
        <f t="shared" ca="1" si="0"/>
        <v>44791</v>
      </c>
      <c r="B31" s="1">
        <f t="shared" ca="1" si="1"/>
        <v>44804</v>
      </c>
      <c r="C31">
        <f t="shared" ca="1" si="2"/>
        <v>1</v>
      </c>
      <c r="D31">
        <f t="shared" ca="1" si="3"/>
        <v>4</v>
      </c>
      <c r="E31" t="str">
        <f t="shared" ca="1" si="4"/>
        <v>Corporate</v>
      </c>
      <c r="F31" t="str">
        <f t="shared" ca="1" si="6"/>
        <v>Cash</v>
      </c>
      <c r="G31" s="5">
        <f t="shared" ca="1" si="5"/>
        <v>969919</v>
      </c>
    </row>
    <row r="32" spans="1:7" x14ac:dyDescent="0.25">
      <c r="A32" s="1">
        <f t="shared" ca="1" si="0"/>
        <v>44919</v>
      </c>
      <c r="B32" s="1">
        <f t="shared" ca="1" si="1"/>
        <v>44926</v>
      </c>
      <c r="C32">
        <f t="shared" ca="1" si="2"/>
        <v>2</v>
      </c>
      <c r="D32">
        <f t="shared" ca="1" si="3"/>
        <v>4</v>
      </c>
      <c r="E32" t="str">
        <f t="shared" ca="1" si="4"/>
        <v>Corporate</v>
      </c>
      <c r="F32" t="str">
        <f t="shared" ca="1" si="6"/>
        <v>Cash</v>
      </c>
      <c r="G32" s="5">
        <f t="shared" ca="1" si="5"/>
        <v>576838</v>
      </c>
    </row>
    <row r="33" spans="1:7" x14ac:dyDescent="0.25">
      <c r="A33" s="1">
        <f t="shared" ca="1" si="0"/>
        <v>44703</v>
      </c>
      <c r="B33" s="1">
        <f t="shared" ca="1" si="1"/>
        <v>44712</v>
      </c>
      <c r="C33">
        <f t="shared" ca="1" si="2"/>
        <v>1</v>
      </c>
      <c r="D33">
        <f t="shared" ca="1" si="3"/>
        <v>1</v>
      </c>
      <c r="E33" t="str">
        <f t="shared" ca="1" si="4"/>
        <v>Retail</v>
      </c>
      <c r="F33" t="str">
        <f t="shared" ca="1" si="6"/>
        <v>Cash</v>
      </c>
      <c r="G33" s="5">
        <f t="shared" ca="1" si="5"/>
        <v>850839</v>
      </c>
    </row>
    <row r="34" spans="1:7" x14ac:dyDescent="0.25">
      <c r="A34" s="1">
        <f t="shared" ref="A34:A67" ca="1" si="7">RANDBETWEEN(44530,44926)</f>
        <v>44883</v>
      </c>
      <c r="B34" s="1">
        <f t="shared" ca="1" si="1"/>
        <v>44895</v>
      </c>
      <c r="C34">
        <f t="shared" ca="1" si="2"/>
        <v>3</v>
      </c>
      <c r="D34">
        <f t="shared" ca="1" si="3"/>
        <v>2</v>
      </c>
      <c r="E34" t="str">
        <f t="shared" ca="1" si="4"/>
        <v>SME</v>
      </c>
      <c r="F34" t="str">
        <f t="shared" ca="1" si="6"/>
        <v>Cash</v>
      </c>
      <c r="G34" s="5">
        <f t="shared" ca="1" si="5"/>
        <v>983324</v>
      </c>
    </row>
    <row r="35" spans="1:7" x14ac:dyDescent="0.25">
      <c r="A35" s="1">
        <f t="shared" ca="1" si="7"/>
        <v>44695</v>
      </c>
      <c r="B35" s="1">
        <f t="shared" ca="1" si="1"/>
        <v>44712</v>
      </c>
      <c r="C35">
        <f t="shared" ca="1" si="2"/>
        <v>1</v>
      </c>
      <c r="D35">
        <f t="shared" ca="1" si="3"/>
        <v>4</v>
      </c>
      <c r="E35" t="str">
        <f t="shared" ca="1" si="4"/>
        <v>Corporate</v>
      </c>
      <c r="F35" t="str">
        <f t="shared" ca="1" si="6"/>
        <v>Cash</v>
      </c>
      <c r="G35" s="5">
        <f t="shared" ca="1" si="5"/>
        <v>295698</v>
      </c>
    </row>
    <row r="36" spans="1:7" x14ac:dyDescent="0.25">
      <c r="A36" s="1">
        <f t="shared" ca="1" si="7"/>
        <v>44668</v>
      </c>
      <c r="B36" s="1">
        <f t="shared" ca="1" si="1"/>
        <v>44681</v>
      </c>
      <c r="C36">
        <f t="shared" ca="1" si="2"/>
        <v>2</v>
      </c>
      <c r="D36">
        <f t="shared" ca="1" si="3"/>
        <v>3</v>
      </c>
      <c r="E36" t="str">
        <f t="shared" ca="1" si="4"/>
        <v>Commercial</v>
      </c>
      <c r="F36" t="str">
        <f t="shared" ca="1" si="6"/>
        <v>Cash</v>
      </c>
      <c r="G36" s="5">
        <f t="shared" ca="1" si="5"/>
        <v>792087</v>
      </c>
    </row>
    <row r="37" spans="1:7" x14ac:dyDescent="0.25">
      <c r="A37" s="1">
        <f t="shared" ca="1" si="7"/>
        <v>44601</v>
      </c>
      <c r="B37" s="1">
        <f t="shared" ca="1" si="1"/>
        <v>44620</v>
      </c>
      <c r="C37">
        <f t="shared" ca="1" si="2"/>
        <v>3</v>
      </c>
      <c r="D37">
        <f t="shared" ca="1" si="3"/>
        <v>4</v>
      </c>
      <c r="E37" t="str">
        <f t="shared" ca="1" si="4"/>
        <v>Corporate</v>
      </c>
      <c r="F37" t="str">
        <f t="shared" ca="1" si="6"/>
        <v>Non Cash</v>
      </c>
      <c r="G37" s="5">
        <f t="shared" ca="1" si="5"/>
        <v>298945</v>
      </c>
    </row>
    <row r="38" spans="1:7" x14ac:dyDescent="0.25">
      <c r="A38" s="1">
        <f t="shared" ca="1" si="7"/>
        <v>44885</v>
      </c>
      <c r="B38" s="1">
        <f t="shared" ca="1" si="1"/>
        <v>44895</v>
      </c>
      <c r="C38">
        <f t="shared" ca="1" si="2"/>
        <v>3</v>
      </c>
      <c r="D38">
        <f t="shared" ca="1" si="3"/>
        <v>1</v>
      </c>
      <c r="E38" t="str">
        <f t="shared" ca="1" si="4"/>
        <v>Retail</v>
      </c>
      <c r="F38" t="str">
        <f t="shared" ca="1" si="6"/>
        <v>Non Cash</v>
      </c>
      <c r="G38" s="5">
        <f t="shared" ca="1" si="5"/>
        <v>271051</v>
      </c>
    </row>
    <row r="39" spans="1:7" x14ac:dyDescent="0.25">
      <c r="A39" s="1">
        <f t="shared" ca="1" si="7"/>
        <v>44757</v>
      </c>
      <c r="B39" s="1">
        <f t="shared" ca="1" si="1"/>
        <v>44773</v>
      </c>
      <c r="C39">
        <f t="shared" ca="1" si="2"/>
        <v>2</v>
      </c>
      <c r="D39">
        <f t="shared" ca="1" si="3"/>
        <v>2</v>
      </c>
      <c r="E39" t="str">
        <f t="shared" ca="1" si="4"/>
        <v>SME</v>
      </c>
      <c r="F39" t="str">
        <f t="shared" ca="1" si="6"/>
        <v>Non Cash</v>
      </c>
      <c r="G39" s="5">
        <f t="shared" ca="1" si="5"/>
        <v>524150</v>
      </c>
    </row>
    <row r="40" spans="1:7" x14ac:dyDescent="0.25">
      <c r="A40" s="1">
        <f t="shared" ca="1" si="7"/>
        <v>44812</v>
      </c>
      <c r="B40" s="1">
        <f t="shared" ca="1" si="1"/>
        <v>44834</v>
      </c>
      <c r="C40">
        <f t="shared" ca="1" si="2"/>
        <v>1</v>
      </c>
      <c r="D40">
        <f t="shared" ca="1" si="3"/>
        <v>3</v>
      </c>
      <c r="E40" t="str">
        <f t="shared" ca="1" si="4"/>
        <v>Commercial</v>
      </c>
      <c r="F40" t="str">
        <f t="shared" ca="1" si="6"/>
        <v>Non Cash</v>
      </c>
      <c r="G40" s="5">
        <f t="shared" ca="1" si="5"/>
        <v>717807</v>
      </c>
    </row>
    <row r="41" spans="1:7" x14ac:dyDescent="0.25">
      <c r="A41" s="1">
        <f t="shared" ca="1" si="7"/>
        <v>44768</v>
      </c>
      <c r="B41" s="1">
        <f t="shared" ca="1" si="1"/>
        <v>44773</v>
      </c>
      <c r="C41">
        <f t="shared" ca="1" si="2"/>
        <v>3</v>
      </c>
      <c r="D41">
        <f t="shared" ca="1" si="3"/>
        <v>4</v>
      </c>
      <c r="E41" t="str">
        <f t="shared" ca="1" si="4"/>
        <v>Corporate</v>
      </c>
      <c r="F41" t="str">
        <f t="shared" ca="1" si="6"/>
        <v>Non Cash</v>
      </c>
      <c r="G41" s="5">
        <f t="shared" ca="1" si="5"/>
        <v>162989</v>
      </c>
    </row>
    <row r="42" spans="1:7" x14ac:dyDescent="0.25">
      <c r="A42" s="1">
        <f t="shared" ca="1" si="7"/>
        <v>44872</v>
      </c>
      <c r="B42" s="1">
        <f t="shared" ca="1" si="1"/>
        <v>44895</v>
      </c>
      <c r="C42">
        <f t="shared" ca="1" si="2"/>
        <v>2</v>
      </c>
      <c r="D42">
        <f t="shared" ca="1" si="3"/>
        <v>4</v>
      </c>
      <c r="E42" t="str">
        <f t="shared" ca="1" si="4"/>
        <v>Corporate</v>
      </c>
      <c r="F42" t="str">
        <f t="shared" ca="1" si="6"/>
        <v>Cash</v>
      </c>
      <c r="G42" s="5">
        <f t="shared" ca="1" si="5"/>
        <v>697895</v>
      </c>
    </row>
    <row r="43" spans="1:7" x14ac:dyDescent="0.25">
      <c r="A43" s="1">
        <f t="shared" ca="1" si="7"/>
        <v>44617</v>
      </c>
      <c r="B43" s="1">
        <f t="shared" ca="1" si="1"/>
        <v>44620</v>
      </c>
      <c r="C43">
        <f t="shared" ca="1" si="2"/>
        <v>1</v>
      </c>
      <c r="D43">
        <f t="shared" ca="1" si="3"/>
        <v>4</v>
      </c>
      <c r="E43" t="str">
        <f t="shared" ca="1" si="4"/>
        <v>Corporate</v>
      </c>
      <c r="F43" t="str">
        <f t="shared" ca="1" si="6"/>
        <v>Non Cash</v>
      </c>
      <c r="G43" s="5">
        <f t="shared" ca="1" si="5"/>
        <v>828975</v>
      </c>
    </row>
    <row r="44" spans="1:7" x14ac:dyDescent="0.25">
      <c r="A44" s="1">
        <f t="shared" ca="1" si="7"/>
        <v>44668</v>
      </c>
      <c r="B44" s="1">
        <f t="shared" ca="1" si="1"/>
        <v>44681</v>
      </c>
      <c r="C44">
        <f t="shared" ca="1" si="2"/>
        <v>1</v>
      </c>
      <c r="D44">
        <f t="shared" ca="1" si="3"/>
        <v>2</v>
      </c>
      <c r="E44" t="str">
        <f t="shared" ca="1" si="4"/>
        <v>SME</v>
      </c>
      <c r="F44" t="str">
        <f t="shared" ca="1" si="6"/>
        <v>Non Cash</v>
      </c>
      <c r="G44" s="5">
        <f t="shared" ca="1" si="5"/>
        <v>123158</v>
      </c>
    </row>
    <row r="45" spans="1:7" x14ac:dyDescent="0.25">
      <c r="A45" s="1">
        <f t="shared" ca="1" si="7"/>
        <v>44642</v>
      </c>
      <c r="B45" s="1">
        <f t="shared" ca="1" si="1"/>
        <v>44651</v>
      </c>
      <c r="C45">
        <f t="shared" ca="1" si="2"/>
        <v>3</v>
      </c>
      <c r="D45">
        <f t="shared" ca="1" si="3"/>
        <v>3</v>
      </c>
      <c r="E45" t="str">
        <f t="shared" ca="1" si="4"/>
        <v>Commercial</v>
      </c>
      <c r="F45" t="str">
        <f t="shared" ca="1" si="6"/>
        <v>Cash</v>
      </c>
      <c r="G45" s="5">
        <f t="shared" ca="1" si="5"/>
        <v>316857</v>
      </c>
    </row>
    <row r="46" spans="1:7" x14ac:dyDescent="0.25">
      <c r="A46" s="1">
        <f t="shared" ca="1" si="7"/>
        <v>44804</v>
      </c>
      <c r="B46" s="1">
        <f t="shared" ca="1" si="1"/>
        <v>44804</v>
      </c>
      <c r="C46">
        <f t="shared" ca="1" si="2"/>
        <v>2</v>
      </c>
      <c r="D46">
        <f t="shared" ca="1" si="3"/>
        <v>3</v>
      </c>
      <c r="E46" t="str">
        <f t="shared" ca="1" si="4"/>
        <v>Commercial</v>
      </c>
      <c r="F46" t="str">
        <f t="shared" ca="1" si="6"/>
        <v>Non Cash</v>
      </c>
      <c r="G46" s="5">
        <f t="shared" ca="1" si="5"/>
        <v>303499</v>
      </c>
    </row>
    <row r="47" spans="1:7" x14ac:dyDescent="0.25">
      <c r="A47" s="1">
        <f t="shared" ca="1" si="7"/>
        <v>44729</v>
      </c>
      <c r="B47" s="1">
        <f t="shared" ca="1" si="1"/>
        <v>44742</v>
      </c>
      <c r="C47">
        <f t="shared" ca="1" si="2"/>
        <v>2</v>
      </c>
      <c r="D47">
        <f t="shared" ca="1" si="3"/>
        <v>4</v>
      </c>
      <c r="E47" t="str">
        <f t="shared" ca="1" si="4"/>
        <v>Corporate</v>
      </c>
      <c r="F47" t="str">
        <f t="shared" ca="1" si="6"/>
        <v>Non Cash</v>
      </c>
      <c r="G47" s="5">
        <f t="shared" ca="1" si="5"/>
        <v>699712</v>
      </c>
    </row>
    <row r="48" spans="1:7" x14ac:dyDescent="0.25">
      <c r="A48" s="1">
        <f t="shared" ca="1" si="7"/>
        <v>44622</v>
      </c>
      <c r="B48" s="1">
        <f t="shared" ca="1" si="1"/>
        <v>44651</v>
      </c>
      <c r="C48">
        <f t="shared" ca="1" si="2"/>
        <v>1</v>
      </c>
      <c r="D48">
        <f t="shared" ca="1" si="3"/>
        <v>2</v>
      </c>
      <c r="E48" t="str">
        <f t="shared" ca="1" si="4"/>
        <v>SME</v>
      </c>
      <c r="F48" t="str">
        <f t="shared" ca="1" si="6"/>
        <v>Cash</v>
      </c>
      <c r="G48" s="5">
        <f t="shared" ca="1" si="5"/>
        <v>191775</v>
      </c>
    </row>
    <row r="49" spans="1:7" x14ac:dyDescent="0.25">
      <c r="A49" s="1">
        <f t="shared" ca="1" si="7"/>
        <v>44552</v>
      </c>
      <c r="B49" s="1">
        <f t="shared" ca="1" si="1"/>
        <v>44561</v>
      </c>
      <c r="C49">
        <f t="shared" ca="1" si="2"/>
        <v>2</v>
      </c>
      <c r="D49">
        <f t="shared" ca="1" si="3"/>
        <v>3</v>
      </c>
      <c r="E49" t="str">
        <f t="shared" ca="1" si="4"/>
        <v>Commercial</v>
      </c>
      <c r="F49" t="str">
        <f t="shared" ca="1" si="6"/>
        <v>Non Cash</v>
      </c>
      <c r="G49" s="5">
        <f t="shared" ca="1" si="5"/>
        <v>935974</v>
      </c>
    </row>
    <row r="50" spans="1:7" x14ac:dyDescent="0.25">
      <c r="A50" s="1">
        <f t="shared" ca="1" si="7"/>
        <v>44789</v>
      </c>
      <c r="B50" s="1">
        <f t="shared" ca="1" si="1"/>
        <v>44804</v>
      </c>
      <c r="C50">
        <f t="shared" ca="1" si="2"/>
        <v>3</v>
      </c>
      <c r="D50">
        <f t="shared" ca="1" si="3"/>
        <v>2</v>
      </c>
      <c r="E50" t="str">
        <f t="shared" ca="1" si="4"/>
        <v>SME</v>
      </c>
      <c r="F50" t="str">
        <f t="shared" ca="1" si="6"/>
        <v>Cash</v>
      </c>
      <c r="G50" s="5">
        <f t="shared" ca="1" si="5"/>
        <v>231689</v>
      </c>
    </row>
    <row r="51" spans="1:7" x14ac:dyDescent="0.25">
      <c r="A51" s="1">
        <f t="shared" ca="1" si="7"/>
        <v>44563</v>
      </c>
      <c r="B51" s="1">
        <f t="shared" ca="1" si="1"/>
        <v>44592</v>
      </c>
      <c r="C51">
        <f t="shared" ca="1" si="2"/>
        <v>3</v>
      </c>
      <c r="D51">
        <f t="shared" ca="1" si="3"/>
        <v>2</v>
      </c>
      <c r="E51" t="str">
        <f t="shared" ca="1" si="4"/>
        <v>SME</v>
      </c>
      <c r="F51" t="str">
        <f t="shared" ca="1" si="6"/>
        <v>Non Cash</v>
      </c>
      <c r="G51" s="5">
        <f t="shared" ca="1" si="5"/>
        <v>381309</v>
      </c>
    </row>
    <row r="52" spans="1:7" x14ac:dyDescent="0.25">
      <c r="A52" s="1">
        <f t="shared" ca="1" si="7"/>
        <v>44711</v>
      </c>
      <c r="B52" s="1">
        <f t="shared" ca="1" si="1"/>
        <v>44712</v>
      </c>
      <c r="C52">
        <f t="shared" ca="1" si="2"/>
        <v>3</v>
      </c>
      <c r="D52">
        <f t="shared" ca="1" si="3"/>
        <v>2</v>
      </c>
      <c r="E52" t="str">
        <f t="shared" ca="1" si="4"/>
        <v>SME</v>
      </c>
      <c r="F52" t="str">
        <f t="shared" ca="1" si="6"/>
        <v>Cash</v>
      </c>
      <c r="G52" s="5">
        <f t="shared" ca="1" si="5"/>
        <v>16509</v>
      </c>
    </row>
    <row r="53" spans="1:7" x14ac:dyDescent="0.25">
      <c r="A53" s="1">
        <f t="shared" ca="1" si="7"/>
        <v>44642</v>
      </c>
      <c r="B53" s="1">
        <f t="shared" ca="1" si="1"/>
        <v>44651</v>
      </c>
      <c r="C53">
        <f t="shared" ca="1" si="2"/>
        <v>3</v>
      </c>
      <c r="D53">
        <f t="shared" ca="1" si="3"/>
        <v>4</v>
      </c>
      <c r="E53" t="str">
        <f t="shared" ca="1" si="4"/>
        <v>Corporate</v>
      </c>
      <c r="F53" t="str">
        <f t="shared" ca="1" si="6"/>
        <v>Non Cash</v>
      </c>
      <c r="G53" s="5">
        <f t="shared" ca="1" si="5"/>
        <v>504944</v>
      </c>
    </row>
    <row r="54" spans="1:7" x14ac:dyDescent="0.25">
      <c r="A54" s="1">
        <f t="shared" ca="1" si="7"/>
        <v>44564</v>
      </c>
      <c r="B54" s="1">
        <f t="shared" ca="1" si="1"/>
        <v>44592</v>
      </c>
      <c r="C54">
        <f t="shared" ca="1" si="2"/>
        <v>2</v>
      </c>
      <c r="D54">
        <f t="shared" ca="1" si="3"/>
        <v>2</v>
      </c>
      <c r="E54" t="str">
        <f t="shared" ca="1" si="4"/>
        <v>SME</v>
      </c>
      <c r="F54" t="str">
        <f t="shared" ca="1" si="6"/>
        <v>Non Cash</v>
      </c>
      <c r="G54" s="5">
        <f t="shared" ca="1" si="5"/>
        <v>690078</v>
      </c>
    </row>
    <row r="55" spans="1:7" x14ac:dyDescent="0.25">
      <c r="A55" s="1">
        <f t="shared" ca="1" si="7"/>
        <v>44628</v>
      </c>
      <c r="B55" s="1">
        <f t="shared" ca="1" si="1"/>
        <v>44651</v>
      </c>
      <c r="C55">
        <f t="shared" ca="1" si="2"/>
        <v>2</v>
      </c>
      <c r="D55">
        <f t="shared" ca="1" si="3"/>
        <v>3</v>
      </c>
      <c r="E55" t="str">
        <f t="shared" ca="1" si="4"/>
        <v>Commercial</v>
      </c>
      <c r="F55" t="str">
        <f t="shared" ca="1" si="6"/>
        <v>Cash</v>
      </c>
      <c r="G55" s="5">
        <f t="shared" ca="1" si="5"/>
        <v>242011</v>
      </c>
    </row>
    <row r="56" spans="1:7" x14ac:dyDescent="0.25">
      <c r="A56" s="1">
        <f t="shared" ca="1" si="7"/>
        <v>44630</v>
      </c>
      <c r="B56" s="1">
        <f t="shared" ca="1" si="1"/>
        <v>44651</v>
      </c>
      <c r="C56">
        <f t="shared" ca="1" si="2"/>
        <v>2</v>
      </c>
      <c r="D56">
        <f t="shared" ca="1" si="3"/>
        <v>1</v>
      </c>
      <c r="E56" t="str">
        <f t="shared" ca="1" si="4"/>
        <v>Retail</v>
      </c>
      <c r="F56" t="str">
        <f t="shared" ca="1" si="6"/>
        <v>Non Cash</v>
      </c>
      <c r="G56" s="5">
        <f t="shared" ca="1" si="5"/>
        <v>712645</v>
      </c>
    </row>
    <row r="57" spans="1:7" x14ac:dyDescent="0.25">
      <c r="A57" s="1">
        <f t="shared" ca="1" si="7"/>
        <v>44819</v>
      </c>
      <c r="B57" s="1">
        <f t="shared" ca="1" si="1"/>
        <v>44834</v>
      </c>
      <c r="C57">
        <f t="shared" ca="1" si="2"/>
        <v>2</v>
      </c>
      <c r="D57">
        <f t="shared" ca="1" si="3"/>
        <v>1</v>
      </c>
      <c r="E57" t="str">
        <f t="shared" ca="1" si="4"/>
        <v>Retail</v>
      </c>
      <c r="F57" t="str">
        <f t="shared" ca="1" si="6"/>
        <v>Non Cash</v>
      </c>
      <c r="G57" s="5">
        <f t="shared" ca="1" si="5"/>
        <v>922296</v>
      </c>
    </row>
    <row r="58" spans="1:7" x14ac:dyDescent="0.25">
      <c r="A58" s="1">
        <f t="shared" ca="1" si="7"/>
        <v>44676</v>
      </c>
      <c r="B58" s="1">
        <f t="shared" ca="1" si="1"/>
        <v>44681</v>
      </c>
      <c r="C58">
        <f t="shared" ca="1" si="2"/>
        <v>3</v>
      </c>
      <c r="D58">
        <f t="shared" ca="1" si="3"/>
        <v>3</v>
      </c>
      <c r="E58" t="str">
        <f t="shared" ca="1" si="4"/>
        <v>Commercial</v>
      </c>
      <c r="F58" t="str">
        <f t="shared" ca="1" si="6"/>
        <v>Cash</v>
      </c>
      <c r="G58" s="5">
        <f t="shared" ca="1" si="5"/>
        <v>188817</v>
      </c>
    </row>
    <row r="59" spans="1:7" x14ac:dyDescent="0.25">
      <c r="A59" s="1">
        <f t="shared" ca="1" si="7"/>
        <v>44576</v>
      </c>
      <c r="B59" s="1">
        <f t="shared" ca="1" si="1"/>
        <v>44592</v>
      </c>
      <c r="C59">
        <f t="shared" ca="1" si="2"/>
        <v>2</v>
      </c>
      <c r="D59">
        <f t="shared" ca="1" si="3"/>
        <v>1</v>
      </c>
      <c r="E59" t="str">
        <f t="shared" ca="1" si="4"/>
        <v>Retail</v>
      </c>
      <c r="F59" t="str">
        <f t="shared" ca="1" si="6"/>
        <v>Cash</v>
      </c>
      <c r="G59" s="5">
        <f t="shared" ca="1" si="5"/>
        <v>336320</v>
      </c>
    </row>
    <row r="60" spans="1:7" x14ac:dyDescent="0.25">
      <c r="A60" s="1">
        <f t="shared" ca="1" si="7"/>
        <v>44567</v>
      </c>
      <c r="B60" s="1">
        <f t="shared" ca="1" si="1"/>
        <v>44592</v>
      </c>
      <c r="C60">
        <f t="shared" ca="1" si="2"/>
        <v>2</v>
      </c>
      <c r="D60">
        <f t="shared" ca="1" si="3"/>
        <v>1</v>
      </c>
      <c r="E60" t="str">
        <f t="shared" ca="1" si="4"/>
        <v>Retail</v>
      </c>
      <c r="F60" t="str">
        <f t="shared" ca="1" si="6"/>
        <v>Non Cash</v>
      </c>
      <c r="G60" s="5">
        <f t="shared" ca="1" si="5"/>
        <v>123922</v>
      </c>
    </row>
    <row r="61" spans="1:7" x14ac:dyDescent="0.25">
      <c r="A61" s="1">
        <f t="shared" ca="1" si="7"/>
        <v>44646</v>
      </c>
      <c r="B61" s="1">
        <f t="shared" ca="1" si="1"/>
        <v>44651</v>
      </c>
      <c r="C61">
        <f t="shared" ca="1" si="2"/>
        <v>3</v>
      </c>
      <c r="D61">
        <f t="shared" ca="1" si="3"/>
        <v>3</v>
      </c>
      <c r="E61" t="str">
        <f t="shared" ca="1" si="4"/>
        <v>Commercial</v>
      </c>
      <c r="F61" t="str">
        <f t="shared" ca="1" si="6"/>
        <v>Non Cash</v>
      </c>
      <c r="G61" s="5">
        <f t="shared" ca="1" si="5"/>
        <v>619045</v>
      </c>
    </row>
    <row r="62" spans="1:7" x14ac:dyDescent="0.25">
      <c r="A62" s="1">
        <f t="shared" ca="1" si="7"/>
        <v>44659</v>
      </c>
      <c r="B62" s="1">
        <f t="shared" ca="1" si="1"/>
        <v>44681</v>
      </c>
      <c r="C62">
        <f t="shared" ca="1" si="2"/>
        <v>3</v>
      </c>
      <c r="D62">
        <f t="shared" ca="1" si="3"/>
        <v>1</v>
      </c>
      <c r="E62" t="str">
        <f t="shared" ca="1" si="4"/>
        <v>Retail</v>
      </c>
      <c r="F62" t="str">
        <f t="shared" ca="1" si="6"/>
        <v>Non Cash</v>
      </c>
      <c r="G62" s="5">
        <f t="shared" ca="1" si="5"/>
        <v>770907</v>
      </c>
    </row>
    <row r="63" spans="1:7" x14ac:dyDescent="0.25">
      <c r="A63" s="1">
        <f t="shared" ca="1" si="7"/>
        <v>44620</v>
      </c>
      <c r="B63" s="1">
        <f t="shared" ca="1" si="1"/>
        <v>44620</v>
      </c>
      <c r="C63">
        <f t="shared" ca="1" si="2"/>
        <v>1</v>
      </c>
      <c r="D63">
        <f t="shared" ca="1" si="3"/>
        <v>4</v>
      </c>
      <c r="E63" t="str">
        <f t="shared" ca="1" si="4"/>
        <v>Corporate</v>
      </c>
      <c r="F63" t="str">
        <f t="shared" ca="1" si="6"/>
        <v>Non Cash</v>
      </c>
      <c r="G63" s="5">
        <f t="shared" ca="1" si="5"/>
        <v>641527</v>
      </c>
    </row>
    <row r="64" spans="1:7" x14ac:dyDescent="0.25">
      <c r="A64" s="1">
        <f t="shared" ca="1" si="7"/>
        <v>44690</v>
      </c>
      <c r="B64" s="1">
        <f t="shared" ca="1" si="1"/>
        <v>44712</v>
      </c>
      <c r="C64">
        <f t="shared" ca="1" si="2"/>
        <v>1</v>
      </c>
      <c r="D64">
        <f t="shared" ca="1" si="3"/>
        <v>3</v>
      </c>
      <c r="E64" t="str">
        <f t="shared" ca="1" si="4"/>
        <v>Commercial</v>
      </c>
      <c r="F64" t="str">
        <f t="shared" ca="1" si="6"/>
        <v>Non Cash</v>
      </c>
      <c r="G64" s="5">
        <f t="shared" ca="1" si="5"/>
        <v>910063</v>
      </c>
    </row>
    <row r="65" spans="1:7" x14ac:dyDescent="0.25">
      <c r="A65" s="1">
        <f t="shared" ca="1" si="7"/>
        <v>44889</v>
      </c>
      <c r="B65" s="1">
        <f t="shared" ca="1" si="1"/>
        <v>44895</v>
      </c>
      <c r="C65">
        <f t="shared" ca="1" si="2"/>
        <v>2</v>
      </c>
      <c r="D65">
        <f t="shared" ca="1" si="3"/>
        <v>2</v>
      </c>
      <c r="E65" t="str">
        <f t="shared" ca="1" si="4"/>
        <v>SME</v>
      </c>
      <c r="F65" t="str">
        <f t="shared" ca="1" si="6"/>
        <v>Non Cash</v>
      </c>
      <c r="G65" s="5">
        <f t="shared" ca="1" si="5"/>
        <v>515673</v>
      </c>
    </row>
    <row r="66" spans="1:7" x14ac:dyDescent="0.25">
      <c r="A66" s="1">
        <f t="shared" ca="1" si="7"/>
        <v>44777</v>
      </c>
      <c r="B66" s="1">
        <f t="shared" ca="1" si="1"/>
        <v>44804</v>
      </c>
      <c r="C66">
        <f t="shared" ca="1" si="2"/>
        <v>1</v>
      </c>
      <c r="D66">
        <f t="shared" ca="1" si="3"/>
        <v>2</v>
      </c>
      <c r="E66" t="str">
        <f t="shared" ca="1" si="4"/>
        <v>SME</v>
      </c>
      <c r="F66" t="str">
        <f t="shared" ca="1" si="6"/>
        <v>Non Cash</v>
      </c>
      <c r="G66" s="5">
        <f t="shared" ca="1" si="5"/>
        <v>644076</v>
      </c>
    </row>
    <row r="67" spans="1:7" x14ac:dyDescent="0.25">
      <c r="A67" s="1">
        <f t="shared" ca="1" si="7"/>
        <v>44578</v>
      </c>
      <c r="B67" s="1">
        <f t="shared" ref="B67" ca="1" si="8">EOMONTH(A67,0)</f>
        <v>44592</v>
      </c>
      <c r="C67">
        <f t="shared" ref="C67" ca="1" si="9">RANDBETWEEN(1,3)</f>
        <v>3</v>
      </c>
      <c r="D67">
        <f t="shared" ref="D67" ca="1" si="10">RANDBETWEEN(1,4)</f>
        <v>2</v>
      </c>
      <c r="E67" t="str">
        <f t="shared" ref="E67" ca="1" si="11">VLOOKUP(D67,$L$1:$M$5,2,0)</f>
        <v>SME</v>
      </c>
      <c r="F67" t="str">
        <f t="shared" ca="1" si="6"/>
        <v>Non Cash</v>
      </c>
      <c r="G67" s="5">
        <f t="shared" ref="G67" ca="1" si="12">RANDBETWEEN(10000,999999)</f>
        <v>400333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Report with Formula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2022-11-05T18:05:10Z</dcterms:created>
  <dcterms:modified xsi:type="dcterms:W3CDTF">2022-11-17T19:54:48Z</dcterms:modified>
</cp:coreProperties>
</file>